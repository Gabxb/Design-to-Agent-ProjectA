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习总览 Dashboard" sheetId="1" state="visible" r:id="rId1"/>
    <sheet xmlns:r="http://schemas.openxmlformats.org/officeDocument/2006/relationships" name="16周学习计划" sheetId="2" state="visible" r:id="rId2"/>
    <sheet xmlns:r="http://schemas.openxmlformats.org/officeDocument/2006/relationships" name="每日学习记录" sheetId="3" state="visible" r:id="rId3"/>
    <sheet xmlns:r="http://schemas.openxmlformats.org/officeDocument/2006/relationships" name="技能矩阵" sheetId="4" state="visible" r:id="rId4"/>
    <sheet xmlns:r="http://schemas.openxmlformats.org/officeDocument/2006/relationships" name="项目里程碑" sheetId="5" state="visible" r:id="rId5"/>
    <sheet xmlns:r="http://schemas.openxmlformats.org/officeDocument/2006/relationships" name="评测记录" sheetId="6" state="visible" r:id="rId6"/>
    <sheet xmlns:r="http://schemas.openxmlformats.org/officeDocument/2006/relationships" name="面试练习记录" sheetId="7" state="visible" r:id="rId7"/>
    <sheet xmlns:r="http://schemas.openxmlformats.org/officeDocument/2006/relationships" name="错题库" sheetId="8" state="visible" r:id="rId8"/>
    <sheet xmlns:r="http://schemas.openxmlformats.org/officeDocument/2006/relationships" name="Agent 故障记录" sheetId="9" state="visible" r:id="rId9"/>
    <sheet xmlns:r="http://schemas.openxmlformats.org/officeDocument/2006/relationships" name="官方资料清单" sheetId="10" state="visible" r:id="rId10"/>
  </sheets>
  <definedNames>
    <definedName name="_xlnm._FilterDatabase" localSheetId="1" hidden="1">'16周学习计划'!$A$1:$H$17</definedName>
    <definedName name="_xlnm._FilterDatabase" localSheetId="2" hidden="1">'每日学习记录'!$A$1:$J$81</definedName>
    <definedName name="_xlnm._FilterDatabase" localSheetId="3" hidden="1">'技能矩阵'!$A$1:$F$11</definedName>
    <definedName name="_xlnm._FilterDatabase" localSheetId="4" hidden="1">'项目里程碑'!$A$1:$G$9</definedName>
    <definedName name="_xlnm._FilterDatabase" localSheetId="5" hidden="1">'评测记录'!$A$1:$J$5</definedName>
    <definedName name="_xlnm._FilterDatabase" localSheetId="6" hidden="1">'面试练习记录'!$A$1:$G$200</definedName>
    <definedName name="_xlnm._FilterDatabase" localSheetId="7" hidden="1">'错题库'!$A$1:$G$300</definedName>
    <definedName name="_xlnm._FilterDatabase" localSheetId="8" hidden="1">'Agent 故障记录'!$A$1:$J$300</definedName>
    <definedName name="_xlnm._FilterDatabase" localSheetId="9" hidden="1">'官方资料清单'!$A$1:$G$11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各周实际学习小时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'学习总览 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'学习总览 Dashboard'!$A$13:$A$28</f>
            </numRef>
          </cat>
          <val>
            <numRef>
              <f>'学习总览 Dashboard'!$B$13:$B$28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周次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小时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32" customHeight="1">
      <c r="A1" s="1" t="inlineStr">
        <is>
          <t>Agent 开发上岗学习总览</t>
        </is>
      </c>
      <c r="B1" s="1" t="inlineStr">
        <is>
          <t>值</t>
        </is>
      </c>
    </row>
    <row r="2">
      <c r="A2" s="2" t="inlineStr">
        <is>
          <t>学习包资料日期</t>
        </is>
      </c>
      <c r="B2" s="3" t="inlineStr">
        <is>
          <t>2026-08-12</t>
        </is>
      </c>
    </row>
    <row r="3">
      <c r="A3" s="2" t="inlineStr">
        <is>
          <t>计划学习小时</t>
        </is>
      </c>
      <c r="B3" s="3" t="n">
        <v>320</v>
      </c>
    </row>
    <row r="4">
      <c r="A4" s="2" t="inlineStr">
        <is>
          <t>实际学习小时</t>
        </is>
      </c>
      <c r="B4" s="3">
        <f>SUM('每日学习记录'!G:G)</f>
        <v/>
      </c>
    </row>
    <row r="5">
      <c r="A5" s="2" t="inlineStr">
        <is>
          <t>任务完成率</t>
        </is>
      </c>
      <c r="B5" s="4">
        <f>IFERROR(COUNTIF('每日学习记录'!H:H,"完成")/MAX(1,COUNTA('每日学习记录'!A:A)-1),0)</f>
        <v/>
      </c>
    </row>
    <row r="6">
      <c r="A6" s="2" t="inlineStr">
        <is>
          <t>总体进度</t>
        </is>
      </c>
      <c r="B6" s="4">
        <f>IFERROR(COUNTIF('每日学习记录'!H:H,"完成")/80,0)</f>
        <v/>
      </c>
    </row>
    <row r="7">
      <c r="A7" s="2" t="inlineStr">
        <is>
          <t>技能平均分</t>
        </is>
      </c>
      <c r="B7" s="3">
        <f>IFERROR(AVERAGE('技能矩阵'!D:D),0)</f>
        <v/>
      </c>
    </row>
    <row r="8">
      <c r="A8" s="2" t="inlineStr">
        <is>
          <t>评测通过率</t>
        </is>
      </c>
      <c r="B8" s="4">
        <f>IFERROR(COUNTIF('评测记录'!G:G,"通过")/MAX(1,COUNTA('评测记录'!A:A)-1),0)</f>
        <v/>
      </c>
    </row>
    <row r="9">
      <c r="A9" s="2" t="inlineStr">
        <is>
          <t>项目完成率</t>
        </is>
      </c>
      <c r="B9" s="4">
        <f>IFERROR(COUNTIF('项目里程碑'!F:F,"完成")/MAX(1,COUNTA('项目里程碑'!A:A)-1),0)</f>
        <v/>
      </c>
    </row>
    <row r="10">
      <c r="A10" s="2" t="inlineStr">
        <is>
          <t>模拟面试次数</t>
        </is>
      </c>
      <c r="B10" s="3">
        <f>MAX(0,COUNTA('面试练习记录'!A:A)-1)</f>
        <v/>
      </c>
    </row>
    <row r="11">
      <c r="A11" s="2" t="n"/>
      <c r="B11" s="2" t="n"/>
    </row>
    <row r="12">
      <c r="A12" s="2" t="inlineStr">
        <is>
          <t>周次</t>
        </is>
      </c>
      <c r="B12" s="2" t="inlineStr">
        <is>
          <t>实际学习小时</t>
        </is>
      </c>
    </row>
    <row r="13">
      <c r="A13" s="2" t="n">
        <v>1</v>
      </c>
      <c r="B13" s="2">
        <f>SUMIF('每日学习记录'!B:B,A13,'每日学习记录'!G:G)</f>
        <v/>
      </c>
    </row>
    <row r="14">
      <c r="A14" s="2" t="n">
        <v>2</v>
      </c>
      <c r="B14" s="2">
        <f>SUMIF('每日学习记录'!B:B,A14,'每日学习记录'!G:G)</f>
        <v/>
      </c>
    </row>
    <row r="15">
      <c r="A15" s="2" t="n">
        <v>3</v>
      </c>
      <c r="B15" s="2">
        <f>SUMIF('每日学习记录'!B:B,A15,'每日学习记录'!G:G)</f>
        <v/>
      </c>
    </row>
    <row r="16">
      <c r="A16" s="2" t="n">
        <v>4</v>
      </c>
      <c r="B16" s="2">
        <f>SUMIF('每日学习记录'!B:B,A16,'每日学习记录'!G:G)</f>
        <v/>
      </c>
    </row>
    <row r="17">
      <c r="A17" s="2" t="n">
        <v>5</v>
      </c>
      <c r="B17" s="2">
        <f>SUMIF('每日学习记录'!B:B,A17,'每日学习记录'!G:G)</f>
        <v/>
      </c>
    </row>
    <row r="18">
      <c r="A18" s="2" t="n">
        <v>6</v>
      </c>
      <c r="B18" s="2">
        <f>SUMIF('每日学习记录'!B:B,A18,'每日学习记录'!G:G)</f>
        <v/>
      </c>
    </row>
    <row r="19">
      <c r="A19" s="2" t="n">
        <v>7</v>
      </c>
      <c r="B19" s="2">
        <f>SUMIF('每日学习记录'!B:B,A19,'每日学习记录'!G:G)</f>
        <v/>
      </c>
    </row>
    <row r="20">
      <c r="A20" s="2" t="n">
        <v>8</v>
      </c>
      <c r="B20" s="2">
        <f>SUMIF('每日学习记录'!B:B,A20,'每日学习记录'!G:G)</f>
        <v/>
      </c>
    </row>
    <row r="21">
      <c r="A21" s="2" t="n">
        <v>9</v>
      </c>
      <c r="B21" s="2">
        <f>SUMIF('每日学习记录'!B:B,A21,'每日学习记录'!G:G)</f>
        <v/>
      </c>
    </row>
    <row r="22">
      <c r="A22" s="2" t="n">
        <v>10</v>
      </c>
      <c r="B22" s="2">
        <f>SUMIF('每日学习记录'!B:B,A22,'每日学习记录'!G:G)</f>
        <v/>
      </c>
    </row>
    <row r="23">
      <c r="A23" s="2" t="n">
        <v>11</v>
      </c>
      <c r="B23" s="2">
        <f>SUMIF('每日学习记录'!B:B,A23,'每日学习记录'!G:G)</f>
        <v/>
      </c>
    </row>
    <row r="24">
      <c r="A24" s="2" t="n">
        <v>12</v>
      </c>
      <c r="B24" s="2">
        <f>SUMIF('每日学习记录'!B:B,A24,'每日学习记录'!G:G)</f>
        <v/>
      </c>
    </row>
    <row r="25">
      <c r="A25" s="2" t="n">
        <v>13</v>
      </c>
      <c r="B25" s="2">
        <f>SUMIF('每日学习记录'!B:B,A25,'每日学习记录'!G:G)</f>
        <v/>
      </c>
    </row>
    <row r="26">
      <c r="A26" s="2" t="n">
        <v>14</v>
      </c>
      <c r="B26" s="2">
        <f>SUMIF('每日学习记录'!B:B,A26,'每日学习记录'!G:G)</f>
        <v/>
      </c>
    </row>
    <row r="27">
      <c r="A27" s="2" t="n">
        <v>15</v>
      </c>
      <c r="B27" s="2">
        <f>SUMIF('每日学习记录'!B:B,A27,'每日学习记录'!G:G)</f>
        <v/>
      </c>
    </row>
    <row r="28">
      <c r="A28" s="2" t="n">
        <v>16</v>
      </c>
      <c r="B28" s="2">
        <f>SUMIF('每日学习记录'!B:B,A28,'每日学习记录'!G:G)</f>
        <v/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2" customWidth="1" min="8" max="8"/>
  </cols>
  <sheetData>
    <row r="1" ht="32" customHeight="1">
      <c r="A1" s="1" t="inlineStr">
        <is>
          <t>周次</t>
        </is>
      </c>
      <c r="B1" s="1" t="inlineStr">
        <is>
          <t>主题</t>
        </is>
      </c>
      <c r="C1" s="1" t="inlineStr">
        <is>
          <t>本周目标</t>
        </is>
      </c>
      <c r="D1" s="1" t="inlineStr">
        <is>
          <t>必写代码</t>
        </is>
      </c>
      <c r="E1" s="1" t="inlineStr">
        <is>
          <t>必做实验</t>
        </is>
      </c>
      <c r="F1" s="1" t="inlineStr">
        <is>
          <t>可验证产出</t>
        </is>
      </c>
      <c r="G1" s="1" t="inlineStr">
        <is>
          <t>验收标准</t>
        </is>
      </c>
      <c r="H1" s="1" t="inlineStr">
        <is>
          <t>面试考点</t>
        </is>
      </c>
    </row>
    <row r="2">
      <c r="A2" s="5" t="n">
        <v>1</v>
      </c>
      <c r="B2" s="5" t="inlineStr">
        <is>
          <t>定位、入学诊断与 Python 工程基线</t>
        </is>
      </c>
      <c r="C2" s="5" t="inlineStr">
        <is>
          <t>完成能力摸底，建立带虚拟环境、格式化、类型检查、单元测试和 Git 提交纪律的 Python 服务骨架。</t>
        </is>
      </c>
      <c r="D2" s="5" t="inlineStr">
        <is>
          <t>创建 hello-agent-service：配置对象、/healthz、结构化日志、两个 pytest 用例和 CI 工作流。</t>
        </is>
      </c>
      <c r="E2" s="5" t="inlineStr">
        <is>
          <t>把一个无类型的脚本改成包结构；故意制造导入错误、超时错误和断言失败，记录排障过程。</t>
        </is>
      </c>
      <c r="F2" s="5" t="inlineStr">
        <is>
          <t>含 README、pyproject.toml、测试通过截图或日志、至少 5 次原子 Git commit 的仓库。</t>
        </is>
      </c>
      <c r="G2" s="5" t="inlineStr">
        <is>
          <t>pytest、ruff、mypy 全绿；密钥不在 Git 历史；新同学可按 README 启动。</t>
        </is>
      </c>
      <c r="H2" s="5" t="inlineStr">
        <is>
          <t>解释为什么 Agent 项目仍需要普通后端工程能力，以及类型与测试如何降低工具调用风险。</t>
        </is>
      </c>
    </row>
    <row r="3">
      <c r="A3" s="5" t="n">
        <v>2</v>
      </c>
      <c r="B3" s="5" t="inlineStr">
        <is>
          <t>FastAPI、Pydantic、异步与 HTTP 边界</t>
        </is>
      </c>
      <c r="C3" s="5" t="inlineStr">
        <is>
          <t>能够设计可验证 API，理解异步 I/O 的适用范围，并将请求、认证主体和错误响应分层。</t>
        </is>
      </c>
      <c r="D3" s="5" t="inlineStr">
        <is>
          <t>实现 POST /v1/chat、Principal 依赖、统一错误模型、请求 trace_id 与异步服务桩。</t>
        </is>
      </c>
      <c r="E3" s="5" t="inlineStr">
        <is>
          <t>同时发起 20 个慢请求；比较阻塞函数直接调用与 asyncio.to_thread 的延迟差异。</t>
        </is>
      </c>
      <c r="F3" s="5" t="inlineStr">
        <is>
          <t>OpenAPI 截图、10 条 API 测试、一次超时 trace 和接口契约文档。</t>
        </is>
      </c>
      <c r="G3" s="5" t="inlineStr">
        <is>
          <t>非法 body 得到稳定 422；未认证请求 401；每个响应带 trace_id 或可查询 trace。</t>
        </is>
      </c>
      <c r="H3" s="5" t="inlineStr">
        <is>
          <t>何时使用 async？Pydantic 与 JSON Schema 怎样配合？401、403、404 如何区分？</t>
        </is>
      </c>
    </row>
    <row r="4">
      <c r="A4" s="5" t="n">
        <v>3</v>
      </c>
      <c r="B4" s="5" t="inlineStr">
        <is>
          <t>数据、Redis、消息与可靠性</t>
        </is>
      </c>
      <c r="C4" s="5" t="inlineStr">
        <is>
          <t>理解 Agent 服务的状态、缓存、异步任务和幂等边界，能为写操作设计可追踪的可靠性策略。</t>
        </is>
      </c>
      <c r="D4" s="5" t="inlineStr">
        <is>
          <t>实现 AuditStore、tenant scoped 查询、idempotency_key 表或内存替身、可重试与不可重试错误分类。</t>
        </is>
      </c>
      <c r="E4" s="5" t="inlineStr">
        <is>
          <t>连续提交同一个写请求 3 次；注入一次网络超时，检查是否产生重复草稿。</t>
        </is>
      </c>
      <c r="F4" s="5" t="inlineStr">
        <is>
          <t>数据模型图、建表脚本、幂等测试、失败分类表和审计查询样例。</t>
        </is>
      </c>
      <c r="G4" s="5" t="inlineStr">
        <is>
          <t>任意读取接口必须带 tenant 过滤；相同幂等键不重复创建；重试上限可配置。</t>
        </is>
      </c>
      <c r="H4" s="5" t="inlineStr">
        <is>
          <t>为什么 Agent 的写工具必须幂等？如何处理模型超时但下游已经成功？</t>
        </is>
      </c>
    </row>
    <row r="5">
      <c r="A5" s="5" t="n">
        <v>4</v>
      </c>
      <c r="B5" s="5" t="inlineStr">
        <is>
          <t>容器、Linux、CI/CD 与可交付服务</t>
        </is>
      </c>
      <c r="C5" s="5" t="inlineStr">
        <is>
          <t>把服务放入容器并由 CI 验证，理解配置、健康检查、镜像最小化和回滚。</t>
        </is>
      </c>
      <c r="D5" s="5" t="inlineStr">
        <is>
          <t>编写 Dockerfile、docker-compose.yml、/healthz、CI：ruff+mypy+pytest。</t>
        </is>
      </c>
      <c r="E5" s="5" t="inlineStr">
        <is>
          <t>构建镜像后以只读根文件系统运行；故意令 healthcheck 失败并模拟回滚。</t>
        </is>
      </c>
      <c r="F5" s="5" t="inlineStr">
        <is>
          <t>镜像构建日志、Compose 启动说明、CI 状态、发布检查清单。</t>
        </is>
      </c>
      <c r="G5" s="5" t="inlineStr">
        <is>
          <t>容器非 root；.env 不进镜像；服务健康检查可用；失败版本能恢复到前一镜像标签。</t>
        </is>
      </c>
      <c r="H5" s="5" t="inlineStr">
        <is>
          <t>蓝绿与灰度如何选？哪些配置必须与镜像分离？健康检查为什么不能只检查进程存在？</t>
        </is>
      </c>
    </row>
    <row r="6">
      <c r="A6" s="5" t="n">
        <v>5</v>
      </c>
      <c r="B6" s="5" t="inlineStr">
        <is>
          <t>LLM 基础、Token、上下文与采样</t>
        </is>
      </c>
      <c r="C6" s="5" t="inlineStr">
        <is>
          <t>能够解释模型调用的输入输出、上下文窗口与成本来源，并以实验而非直觉选择参数。</t>
        </is>
      </c>
      <c r="D6" s="5" t="inlineStr">
        <is>
          <t>写 ModelClient 接口、provider adapter、usage 记录模型和超时/429/5xx 异常分类。</t>
        </is>
      </c>
      <c r="E6" s="5" t="inlineStr">
        <is>
          <t>对同一 20 条提示运行三组采样参数，比较格式遵循率、长度、延迟与 token。</t>
        </is>
      </c>
      <c r="F6" s="5" t="inlineStr">
        <is>
          <t>参数实验 CSV、成本公式、模型选择 ADR、无密钥的 mock 测试。</t>
        </is>
      </c>
      <c r="G6" s="5" t="inlineStr">
        <is>
          <t>不把模型名和价格硬编码为永久事实；报告标明日期、模型版本、样本数与局限。</t>
        </is>
      </c>
      <c r="H6" s="5" t="inlineStr">
        <is>
          <t>token 成本如何估算？上下文溢出怎样处理？为什么同一提示并非完全确定？</t>
        </is>
      </c>
    </row>
    <row r="7">
      <c r="A7" s="5" t="n">
        <v>6</v>
      </c>
      <c r="B7" s="5" t="inlineStr">
        <is>
          <t>Prompt 与上下文工程、结构化输出</t>
        </is>
      </c>
      <c r="C7" s="5" t="inlineStr">
        <is>
          <t>把自然语言目标转换成可测试提示和受 schema 约束的中间契约，而不把提示当安全边界。</t>
        </is>
      </c>
      <c r="D7" s="5" t="inlineStr">
        <is>
          <t>定义 ModelDecision、Citation、TicketDraft；实现 schema 校验失败的安全降级与 prompt registry。</t>
        </is>
      </c>
      <c r="E7" s="5" t="inlineStr">
        <is>
          <t>用 30 条输入比较自由文本、JSON mode 与 strict schema 的解析成功率；保存失败例。</t>
        </is>
      </c>
      <c r="F7" s="5" t="inlineStr">
        <is>
          <t>提示词版本库、结构化输出评测集、失败样本和修复说明。</t>
        </is>
      </c>
      <c r="G7" s="5" t="inlineStr">
        <is>
          <t>模型输出未通过 Pydantic 校验时不执行工具；schema 枚举能排除无效状态。</t>
        </is>
      </c>
      <c r="H7" s="5" t="inlineStr">
        <is>
          <t>Function Calling 与最终结构化回复的差异？为什么 schema 不能替代授权？</t>
        </is>
      </c>
    </row>
    <row r="8">
      <c r="A8" s="5" t="n">
        <v>7</v>
      </c>
      <c r="B8" s="5" t="inlineStr">
        <is>
          <t>Function Calling、工具 Schema 与手写 Agent Loop</t>
        </is>
      </c>
      <c r="C8" s="5" t="inlineStr">
        <is>
          <t>能手写一个有限步 Agent Loop，清楚解释模型、执行器和工具之间的消息流。</t>
        </is>
      </c>
      <c r="D8" s="5" t="inlineStr">
        <is>
          <t>完成 ToolRegistry、search_knowledge、get_ticket、draft_ticket 和 AgentRunner。</t>
        </is>
      </c>
      <c r="E8" s="5" t="inlineStr">
        <is>
          <t>使用 ScriptedModelClient 重放：正确调用、未知工具、非法参数、重复调用、超时和写操作确认。</t>
        </is>
      </c>
      <c r="F8" s="5" t="inlineStr">
        <is>
          <t>时序图、至少 8 个 Agent Loop 测试、工具 schema 审查表。</t>
        </is>
      </c>
      <c r="G8" s="5" t="inlineStr">
        <is>
          <t>模型不能指定 tenant_id；相同调用被拒绝；最大步数终止；可重试与不可重试错误行为不同。</t>
        </is>
      </c>
      <c r="H8" s="5" t="inlineStr">
        <is>
          <t>讲解一次 tool calling 循环；为何要把 call_id 回传？怎样避免无限循环？</t>
        </is>
      </c>
    </row>
    <row r="9">
      <c r="A9" s="5" t="n">
        <v>8</v>
      </c>
      <c r="B9" s="5" t="inlineStr">
        <is>
          <t>状态、记忆、检查点与故障恢复</t>
        </is>
      </c>
      <c r="C9" s="5" t="inlineStr">
        <is>
          <t>区分短期状态、用户级长期记忆和知识库，设计可恢复且不越权的状态持久化。</t>
        </is>
      </c>
      <c r="D9" s="5" t="inlineStr">
        <is>
          <t>实现 AgentState、审计事件、checkpoint schema、恢复接口设计和 state handle 归属校验测试。</t>
        </is>
      </c>
      <c r="E9" s="5" t="inlineStr">
        <is>
          <t>在工具执行后强制中断，重启后从 checkpoint 恢复；尝试用另一租户 handle 恢复并确保拒绝。</t>
        </is>
      </c>
      <c r="F9" s="5" t="inlineStr">
        <is>
          <t>状态机图、恢复 runbook、状态 retention 策略和 6 个恢复测试。</t>
        </is>
      </c>
      <c r="G9" s="5" t="inlineStr">
        <is>
          <t>状态句柄不可预测且绑定 authenticated principal；恢复不会重复写；过期状态被拒绝。</t>
        </is>
      </c>
      <c r="H9" s="5" t="inlineStr">
        <is>
          <t>短期记忆、长期记忆、RAG 如何区分？checkpoint 应保存哪些，不应保存哪些？</t>
        </is>
      </c>
    </row>
    <row r="10">
      <c r="A10" s="5" t="n">
        <v>9</v>
      </c>
      <c r="B10" s="5" t="inlineStr">
        <is>
          <t>RAG 摄取、文档处理、切分与检索</t>
        </is>
      </c>
      <c r="C10" s="5" t="inlineStr">
        <is>
          <t>构建可追溯的 RAG 摄取和检索管线，并先实现权限过滤再检索。</t>
        </is>
      </c>
      <c r="D10" s="5" t="inlineStr">
        <is>
          <t>实现 Document、Chunk、ACL metadata、SQLite FTS 原型、Retriever 接口和 citation mapping。</t>
        </is>
      </c>
      <c r="E10" s="5" t="inlineStr">
        <is>
          <t>针对 3 种 chunk size/overlap 和 2 种检索模式跑标注查询集，记录 Recall@K 与错误例。</t>
        </is>
      </c>
      <c r="F10" s="5" t="inlineStr">
        <is>
          <t>摄取清单、数据血缘表、检索实验 CSV、引用样例和无答案回复策略。</t>
        </is>
      </c>
      <c r="G10" s="5" t="inlineStr">
        <is>
          <t>检索前执行 tenant/role filter；回答引用包含 source/chunk；无证据时明确拒答。</t>
        </is>
      </c>
      <c r="H10" s="5" t="inlineStr">
        <is>
          <t>为什么 metadata filter 是安全边界？chunk 怎样影响召回？混合检索何时有益？</t>
        </is>
      </c>
    </row>
    <row r="11">
      <c r="A11" s="5" t="n">
        <v>10</v>
      </c>
      <c r="B11" s="5" t="inlineStr">
        <is>
          <t>RAG 评测、回答忠实度与 LangGraph</t>
        </is>
      </c>
      <c r="C11" s="5" t="inlineStr">
        <is>
          <t>将 RAG 从“能回答”提升到“可测量、可恢复、可审计”的图编排应用。</t>
        </is>
      </c>
      <c r="D11" s="5" t="inlineStr">
        <is>
          <t>实现评测 JSONL、检索指标函数、失败分类；将 classify→retrieve→rerank→answer→approve 映射为 StateGraph 设计。</t>
        </is>
      </c>
      <c r="E11" s="5" t="inlineStr">
        <is>
          <t>为 30 条问题标注 gold chunks；分别测 raw retrieval 与 rerank；比较指标和延迟。</t>
        </is>
      </c>
      <c r="F11" s="5" t="inlineStr">
        <is>
          <t>RAG eval 报告、LangGraph 状态图、被中断后恢复的 trace。</t>
        </is>
      </c>
      <c r="G11" s="5" t="inlineStr">
        <is>
          <t>指标能区分检索失败与回答失败；改变 chunk 参数后可重跑；高风险节点能 interrupt。</t>
        </is>
      </c>
      <c r="H11" s="5" t="inlineStr">
        <is>
          <t>Recall@K 与 MRR 的公式？为何 graph 比自由循环适合审批流程？</t>
        </is>
      </c>
    </row>
    <row r="12">
      <c r="A12" s="5" t="n">
        <v>11</v>
      </c>
      <c r="B12" s="5" t="inlineStr">
        <is>
          <t>轻量 Agent SDK、Tracing 与多 Agent 边界</t>
        </is>
      </c>
      <c r="C12" s="5" t="inlineStr">
        <is>
          <t>能够比较手写 loop 与 SDK，知道何时选择 handoff/agents-as-tools，何时避免多 Agent。</t>
        </is>
      </c>
      <c r="D12" s="5" t="inlineStr">
        <is>
          <t>用同一 ToolRegistry 做一个 SDK 对照分支；记录手写 loop 与 SDK 的接口差异、trace 字段和迁移点。</t>
        </is>
      </c>
      <c r="E12" s="5" t="inlineStr">
        <is>
          <t>实现单 Agent 与“检索专家作为工具”的两个版本，比较成功率、步骤数、成本和故障面。</t>
        </is>
      </c>
      <c r="F12" s="5" t="inlineStr">
        <is>
          <t>框架选型矩阵、对照实验、trace 截图或 JSON、迁移风险清单。</t>
        </is>
      </c>
      <c r="G12" s="5" t="inlineStr">
        <is>
          <t>多 Agent 设计能证明分工、接口、独立评测和成本收益；否则保留单 Agent。</t>
        </is>
      </c>
      <c r="H12" s="5" t="inlineStr">
        <is>
          <t>Agents SDK 何时比直接 API 合适？agent-as-tool 与 handoff 有何区别？</t>
        </is>
      </c>
    </row>
    <row r="13">
      <c r="A13" s="5" t="n">
        <v>12</v>
      </c>
      <c r="B13" s="5" t="inlineStr">
        <is>
          <t>Microsoft Agent Framework、MCP 与集成治理</t>
        </is>
      </c>
      <c r="C13" s="5" t="inlineStr">
        <is>
          <t>理解企业 Agent Framework 的定位与 MCP 的协议/授权边界，能构建最小受限 MCP 服务。</t>
        </is>
      </c>
      <c r="D13" s="5" t="inlineStr">
        <is>
          <t>实现最小 MCP tool schema 或伪服务端；为允许目录、命令白名单、scope、工具审批写配置和测试。</t>
        </is>
      </c>
      <c r="E13" s="5" t="inlineStr">
        <is>
          <t>模拟恶意 MCP 描述、私网 URL、跨受众 token 和越权 state handle，验证拒绝或人工确认。</t>
        </is>
      </c>
      <c r="F13" s="5" t="inlineStr">
        <is>
          <t>MCP threat model、权限矩阵、tool allowlist、至少 6 条安全用例。</t>
        </is>
      </c>
      <c r="G13" s="5" t="inlineStr">
        <is>
          <t>不从 MCP tool description 推断信任；HTTP 端点限制 egress；token 不透传；写工具要求确认。</t>
        </is>
      </c>
      <c r="H13" s="5" t="inlineStr">
        <is>
          <t>MCP 的三种角色？为何 tool description 不可信？token passthrough 有何风险？</t>
        </is>
      </c>
    </row>
    <row r="14">
      <c r="A14" s="5" t="n">
        <v>13</v>
      </c>
      <c r="B14" s="5" t="inlineStr">
        <is>
          <t>Agent 安全、权限、隐私与红队测试</t>
        </is>
      </c>
      <c r="C14" s="5" t="inlineStr">
        <is>
          <t>把提示注入、间接注入、工具越权、数据泄漏和租户隔离转化为可执行测试，而不是口号。</t>
        </is>
      </c>
      <c r="D14" s="5" t="inlineStr">
        <is>
          <t>实现 prompt injection case、role/tenant policy、审计事件、PII redaction 钩子、工具审批和 deny-by-default。</t>
        </is>
      </c>
      <c r="E14" s="5" t="inlineStr">
        <is>
          <t>对两个项目各执行 15 条注入/越权/数据外泄 case；按严重性记录。</t>
        </is>
      </c>
      <c r="F14" s="5" t="inlineStr">
        <is>
          <t>威胁模型、攻击用例 JSONL、修复 PR、风险接受清单。</t>
        </is>
      </c>
      <c r="G14" s="5" t="inlineStr">
        <is>
          <t>不可信数据不进入高权限指令；模型不能写入主体/租户；所有失败工具调用有审计。</t>
        </is>
      </c>
      <c r="H14" s="5" t="inlineStr">
        <is>
          <t>间接提示注入如何发生？RBAC 与 ABAC 何时用？如何设计安全测试？</t>
        </is>
      </c>
    </row>
    <row r="15">
      <c r="A15" s="5" t="n">
        <v>14</v>
      </c>
      <c r="B15" s="5" t="inlineStr">
        <is>
          <t>作品集一：企业知识库与工单 Agent</t>
        </is>
      </c>
      <c r="C15" s="5" t="inlineStr">
        <is>
          <t>完成可演示的企业知识库与工单 Agent 的核心闭环、评测和安全基线。</t>
        </is>
      </c>
      <c r="D15" s="5" t="inlineStr">
        <is>
          <t>按项目一目录实现 auth adapter、ingest、retriever、ticket tools、approval、audit、eval。</t>
        </is>
      </c>
      <c r="E15" s="5" t="inlineStr">
        <is>
          <t>导入模拟 HR/IT/财务文档；尝试跨部门检索和未确认创建，确保拒绝。</t>
        </is>
      </c>
      <c r="F15" s="5" t="inlineStr">
        <is>
          <t>可启动仓库、架构图、README、评测报告、安全测试和 5 分钟演示脚本。</t>
        </is>
      </c>
      <c r="G15" s="5" t="inlineStr">
        <is>
          <t>满足项目一全部验收项；关键路径有测试；引用可回跳；Docker 一键启动。</t>
        </is>
      </c>
      <c r="H15" s="5" t="inlineStr">
        <is>
          <t>演示权限过滤发生在哪一层？怎样证明引用正确？为什么先草稿后创建？</t>
        </is>
      </c>
    </row>
    <row r="16">
      <c r="A16" s="5" t="n">
        <v>15</v>
      </c>
      <c r="B16" s="5" t="inlineStr">
        <is>
          <t>作品集二：代码仓库维护 Agent</t>
        </is>
      </c>
      <c r="C16" s="5" t="inlineStr">
        <is>
          <t>完成以批准、目录限制、命令白名单和测试门禁为核心的代码仓库维护 Agent 设计与 MVP。</t>
        </is>
      </c>
      <c r="D16" s="5" t="inlineStr">
        <is>
          <t>实现计划 schema、受限路径校验、命令 allowlist、secret file blocklist、pytest runner timeout、PR 描述生成。</t>
        </is>
      </c>
      <c r="E16" s="5" t="inlineStr">
        <is>
          <t>输入正常 bug、越权目录、危险命令、secret 文件、失败测试、断点恢复六种 case。</t>
        </is>
      </c>
      <c r="F16" s="5" t="inlineStr">
        <is>
          <t>repo agent 设计文档、测试记录、安全基线、演示 issue 到 PR draft 的脚本。</t>
        </is>
      </c>
      <c r="G16" s="5" t="inlineStr">
        <is>
          <t>Agent 永不直接 push；每次文件改动需批准；命令/目录/资源均被强制执行而非写在提示里。</t>
        </is>
      </c>
      <c r="H16" s="5" t="inlineStr">
        <is>
          <t>如何阻止 rm -rf？如何让模型修改代码但不泄露 .env？怎样恢复失败执行？</t>
        </is>
      </c>
    </row>
    <row r="17">
      <c r="A17" s="5" t="n">
        <v>16</v>
      </c>
      <c r="B17" s="5" t="inlineStr">
        <is>
          <t>上线验收、简历、面试与持续改进</t>
        </is>
      </c>
      <c r="C17" s="5" t="inlineStr">
        <is>
          <t>以真实面试和上线审查标准完成两个作品集的验收，并将学习成果转化为可验证叙事。</t>
        </is>
      </c>
      <c r="D17" s="5" t="inlineStr">
        <is>
          <t>补齐 CI、发布检查、指标采集、成本上限配置、runbook 和演示数据重置脚本。</t>
        </is>
      </c>
      <c r="E17" s="5" t="inlineStr">
        <is>
          <t>做一次模拟生产事故：模型 429、检索空、工具超时、权限拒绝；在 30 分钟内按 runbook 定位并复盘。</t>
        </is>
      </c>
      <c r="F17" s="5" t="inlineStr">
        <is>
          <t>两份项目 README、两份答辩稿、简历项目描述、20 题模拟面试记录、结业验收报告。</t>
        </is>
      </c>
      <c r="G17" s="5" t="inlineStr">
        <is>
          <t>能在 10 分钟内演示核心路径，5 分钟内解释架构安全权衡；所有关键主张有代码、测试、trace 或指标证据。</t>
        </is>
      </c>
      <c r="H17" s="5" t="inlineStr">
        <is>
          <t>讲一个你如何定位 Agent 失败的例子；如何从单机 MVP 演进到多租户生产？</t>
        </is>
      </c>
    </row>
  </sheetData>
  <autoFilter ref="A1:H17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72" customWidth="1" min="4" max="4"/>
    <col width="12" customWidth="1" min="5" max="5"/>
    <col width="18" customWidth="1" min="6" max="6"/>
    <col width="12" customWidth="1" min="7" max="7"/>
    <col width="12" customWidth="1" min="8" max="8"/>
    <col width="28" customWidth="1" min="9" max="9"/>
    <col width="32" customWidth="1" min="10" max="10"/>
  </cols>
  <sheetData>
    <row r="1" ht="32" customHeight="1">
      <c r="A1" s="1" t="inlineStr">
        <is>
          <t>日期</t>
        </is>
      </c>
      <c r="B1" s="1" t="inlineStr">
        <is>
          <t>周次</t>
        </is>
      </c>
      <c r="C1" s="1" t="inlineStr">
        <is>
          <t>星期</t>
        </is>
      </c>
      <c r="D1" s="1" t="inlineStr">
        <is>
          <t>任务</t>
        </is>
      </c>
      <c r="E1" s="1" t="inlineStr">
        <is>
          <t>计划小时</t>
        </is>
      </c>
      <c r="F1" s="1" t="inlineStr">
        <is>
          <t>开始时间</t>
        </is>
      </c>
      <c r="G1" s="1" t="inlineStr">
        <is>
          <t>实际小时</t>
        </is>
      </c>
      <c r="H1" s="1" t="inlineStr">
        <is>
          <t>状态</t>
        </is>
      </c>
      <c r="I1" s="1" t="inlineStr">
        <is>
          <t>证据链接/文件</t>
        </is>
      </c>
      <c r="J1" s="1" t="inlineStr">
        <is>
          <t>复盘</t>
        </is>
      </c>
    </row>
    <row r="2">
      <c r="A2" s="6" t="inlineStr"/>
      <c r="B2" s="5" t="n">
        <v>1</v>
      </c>
      <c r="C2" s="5" t="inlineStr">
        <is>
          <t>Day 1</t>
        </is>
      </c>
      <c r="D2" s="5" t="inlineStr">
        <is>
          <t>Day 1（4h）：完成 20 题入学测验；创建学习仓库与 issue 看板，提交 baseline commit。</t>
        </is>
      </c>
      <c r="E2" s="5" t="n">
        <v>4</v>
      </c>
      <c r="F2" s="6" t="inlineStr"/>
      <c r="G2" s="6" t="inlineStr"/>
      <c r="H2" s="6" t="inlineStr">
        <is>
          <t>未开始</t>
        </is>
      </c>
      <c r="I2" s="6" t="inlineStr"/>
      <c r="J2" s="6" t="inlineStr"/>
    </row>
    <row r="3">
      <c r="A3" s="6" t="inlineStr"/>
      <c r="B3" s="5" t="n">
        <v>1</v>
      </c>
      <c r="C3" s="5" t="inlineStr">
        <is>
          <t>Day 2</t>
        </is>
      </c>
      <c r="D3" s="5" t="inlineStr">
        <is>
          <t>Day 2（4h）：用 pyproject.toml 建包；实现 settings.py 与 .env.example，写 2 个配置校验测试。</t>
        </is>
      </c>
      <c r="E3" s="5" t="n">
        <v>4</v>
      </c>
      <c r="F3" s="6" t="inlineStr"/>
      <c r="G3" s="6" t="inlineStr"/>
      <c r="H3" s="6" t="inlineStr">
        <is>
          <t>未开始</t>
        </is>
      </c>
      <c r="I3" s="6" t="inlineStr"/>
      <c r="J3" s="6" t="inlineStr"/>
    </row>
    <row r="4">
      <c r="A4" s="6" t="inlineStr"/>
      <c r="B4" s="5" t="n">
        <v>1</v>
      </c>
      <c r="C4" s="5" t="inlineStr">
        <is>
          <t>Day 3</t>
        </is>
      </c>
      <c r="D4" s="5" t="inlineStr">
        <is>
          <t>Day 3（4h）：实现 /healthz 与 JSON 日志；用 curl 保存一次成功和一次 400 响应。</t>
        </is>
      </c>
      <c r="E4" s="5" t="n">
        <v>4</v>
      </c>
      <c r="F4" s="6" t="inlineStr"/>
      <c r="G4" s="6" t="inlineStr"/>
      <c r="H4" s="6" t="inlineStr">
        <is>
          <t>未开始</t>
        </is>
      </c>
      <c r="I4" s="6" t="inlineStr"/>
      <c r="J4" s="6" t="inlineStr"/>
    </row>
    <row r="5">
      <c r="A5" s="6" t="inlineStr"/>
      <c r="B5" s="5" t="n">
        <v>1</v>
      </c>
      <c r="C5" s="5" t="inlineStr">
        <is>
          <t>Day 4</t>
        </is>
      </c>
      <c r="D5" s="5" t="inlineStr">
        <is>
          <t>Day 4（4h）：为异常和数据模型增加类型注解；运行 ruff、mypy，提交修复 commit。</t>
        </is>
      </c>
      <c r="E5" s="5" t="n">
        <v>4</v>
      </c>
      <c r="F5" s="6" t="inlineStr"/>
      <c r="G5" s="6" t="inlineStr"/>
      <c r="H5" s="6" t="inlineStr">
        <is>
          <t>未开始</t>
        </is>
      </c>
      <c r="I5" s="6" t="inlineStr"/>
      <c r="J5" s="6" t="inlineStr"/>
    </row>
    <row r="6">
      <c r="A6" s="6" t="inlineStr"/>
      <c r="B6" s="5" t="n">
        <v>1</v>
      </c>
      <c r="C6" s="5" t="inlineStr">
        <is>
          <t>Day 5</t>
        </is>
      </c>
      <c r="D6" s="5" t="inlineStr">
        <is>
          <t>Day 5（4h）：写 README 启动步骤和一篇 500 字工程复盘；整理 issue 与下周计划。</t>
        </is>
      </c>
      <c r="E6" s="5" t="n">
        <v>4</v>
      </c>
      <c r="F6" s="6" t="inlineStr"/>
      <c r="G6" s="6" t="inlineStr"/>
      <c r="H6" s="6" t="inlineStr">
        <is>
          <t>未开始</t>
        </is>
      </c>
      <c r="I6" s="6" t="inlineStr"/>
      <c r="J6" s="6" t="inlineStr"/>
    </row>
    <row r="7">
      <c r="A7" s="6" t="inlineStr"/>
      <c r="B7" s="5" t="n">
        <v>2</v>
      </c>
      <c r="C7" s="5" t="inlineStr">
        <is>
          <t>Day 1</t>
        </is>
      </c>
      <c r="D7" s="5" t="inlineStr">
        <is>
          <t>Day 1（4h）：定义 ChatRequest、AgentReply、ProblemDetails；为无效长度和非法 ID 写测试。</t>
        </is>
      </c>
      <c r="E7" s="5" t="n">
        <v>4</v>
      </c>
      <c r="F7" s="6" t="inlineStr"/>
      <c r="G7" s="6" t="inlineStr"/>
      <c r="H7" s="6" t="inlineStr">
        <is>
          <t>未开始</t>
        </is>
      </c>
      <c r="I7" s="6" t="inlineStr"/>
      <c r="J7" s="6" t="inlineStr"/>
    </row>
    <row r="8">
      <c r="A8" s="6" t="inlineStr"/>
      <c r="B8" s="5" t="n">
        <v>2</v>
      </c>
      <c r="C8" s="5" t="inlineStr">
        <is>
          <t>Day 2</t>
        </is>
      </c>
      <c r="D8" s="5" t="inlineStr">
        <is>
          <t>Day 2（4h）：实现 Principal 依赖与 401/403 响应；提交认证边界说明。</t>
        </is>
      </c>
      <c r="E8" s="5" t="n">
        <v>4</v>
      </c>
      <c r="F8" s="6" t="inlineStr"/>
      <c r="G8" s="6" t="inlineStr"/>
      <c r="H8" s="6" t="inlineStr">
        <is>
          <t>未开始</t>
        </is>
      </c>
      <c r="I8" s="6" t="inlineStr"/>
      <c r="J8" s="6" t="inlineStr"/>
    </row>
    <row r="9">
      <c r="A9" s="6" t="inlineStr"/>
      <c r="B9" s="5" t="n">
        <v>2</v>
      </c>
      <c r="C9" s="5" t="inlineStr">
        <is>
          <t>Day 3</t>
        </is>
      </c>
      <c r="D9" s="5" t="inlineStr">
        <is>
          <t>Day 3（4h）：实现异步 HTTP 客户端桩与显式 timeout；模拟 TimeoutException 测试。</t>
        </is>
      </c>
      <c r="E9" s="5" t="n">
        <v>4</v>
      </c>
      <c r="F9" s="6" t="inlineStr"/>
      <c r="G9" s="6" t="inlineStr"/>
      <c r="H9" s="6" t="inlineStr">
        <is>
          <t>未开始</t>
        </is>
      </c>
      <c r="I9" s="6" t="inlineStr"/>
      <c r="J9" s="6" t="inlineStr"/>
    </row>
    <row r="10">
      <c r="A10" s="6" t="inlineStr"/>
      <c r="B10" s="5" t="n">
        <v>2</v>
      </c>
      <c r="C10" s="5" t="inlineStr">
        <is>
          <t>Day 4</t>
        </is>
      </c>
      <c r="D10" s="5" t="inlineStr">
        <is>
          <t>Day 4（4h）：生成 OpenAPI 并审查字段是否泄露内部信息；记录修改。</t>
        </is>
      </c>
      <c r="E10" s="5" t="n">
        <v>4</v>
      </c>
      <c r="F10" s="6" t="inlineStr"/>
      <c r="G10" s="6" t="inlineStr"/>
      <c r="H10" s="6" t="inlineStr">
        <is>
          <t>未开始</t>
        </is>
      </c>
      <c r="I10" s="6" t="inlineStr"/>
      <c r="J10" s="6" t="inlineStr"/>
    </row>
    <row r="11">
      <c r="A11" s="6" t="inlineStr"/>
      <c r="B11" s="5" t="n">
        <v>2</v>
      </c>
      <c r="C11" s="5" t="inlineStr">
        <is>
          <t>Day 5</t>
        </is>
      </c>
      <c r="D11" s="5" t="inlineStr">
        <is>
          <t>Day 5（4h）：做 20 并发请求实验，输出表格、P95 与瓶颈假设。</t>
        </is>
      </c>
      <c r="E11" s="5" t="n">
        <v>4</v>
      </c>
      <c r="F11" s="6" t="inlineStr"/>
      <c r="G11" s="6" t="inlineStr"/>
      <c r="H11" s="6" t="inlineStr">
        <is>
          <t>未开始</t>
        </is>
      </c>
      <c r="I11" s="6" t="inlineStr"/>
      <c r="J11" s="6" t="inlineStr"/>
    </row>
    <row r="12">
      <c r="A12" s="6" t="inlineStr"/>
      <c r="B12" s="5" t="n">
        <v>3</v>
      </c>
      <c r="C12" s="5" t="inlineStr">
        <is>
          <t>Day 1</t>
        </is>
      </c>
      <c r="D12" s="5" t="inlineStr">
        <is>
          <t>Day 1（4h）：画实体关系图，定义 AuditEvent、Conversation、ToolInvocation、IdempotencyRecord。</t>
        </is>
      </c>
      <c r="E12" s="5" t="n">
        <v>4</v>
      </c>
      <c r="F12" s="6" t="inlineStr"/>
      <c r="G12" s="6" t="inlineStr"/>
      <c r="H12" s="6" t="inlineStr">
        <is>
          <t>未开始</t>
        </is>
      </c>
      <c r="I12" s="6" t="inlineStr"/>
      <c r="J12" s="6" t="inlineStr"/>
    </row>
    <row r="13">
      <c r="A13" s="6" t="inlineStr"/>
      <c r="B13" s="5" t="n">
        <v>3</v>
      </c>
      <c r="C13" s="5" t="inlineStr">
        <is>
          <t>Day 2</t>
        </is>
      </c>
      <c r="D13" s="5" t="inlineStr">
        <is>
          <t>Day 2（4h）：实现 SQLite 初始化与 tenant scoped list 查询，写跨租户隔离测试。</t>
        </is>
      </c>
      <c r="E13" s="5" t="n">
        <v>4</v>
      </c>
      <c r="F13" s="6" t="inlineStr"/>
      <c r="G13" s="6" t="inlineStr"/>
      <c r="H13" s="6" t="inlineStr">
        <is>
          <t>未开始</t>
        </is>
      </c>
      <c r="I13" s="6" t="inlineStr"/>
      <c r="J13" s="6" t="inlineStr"/>
    </row>
    <row r="14">
      <c r="A14" s="6" t="inlineStr"/>
      <c r="B14" s="5" t="n">
        <v>3</v>
      </c>
      <c r="C14" s="5" t="inlineStr">
        <is>
          <t>Day 3</t>
        </is>
      </c>
      <c r="D14" s="5" t="inlineStr">
        <is>
          <t>Day 3（4h）：实现 idempotency_key 并写重复提交测试，提交数据库迁移说明。</t>
        </is>
      </c>
      <c r="E14" s="5" t="n">
        <v>4</v>
      </c>
      <c r="F14" s="6" t="inlineStr"/>
      <c r="G14" s="6" t="inlineStr"/>
      <c r="H14" s="6" t="inlineStr">
        <is>
          <t>未开始</t>
        </is>
      </c>
      <c r="I14" s="6" t="inlineStr"/>
      <c r="J14" s="6" t="inlineStr"/>
    </row>
    <row r="15">
      <c r="A15" s="6" t="inlineStr"/>
      <c r="B15" s="5" t="n">
        <v>3</v>
      </c>
      <c r="C15" s="5" t="inlineStr">
        <is>
          <t>Day 4</t>
        </is>
      </c>
      <c r="D15" s="5" t="inlineStr">
        <is>
          <t>Day 4（4h）：为模型、工具、数据库错误分类并实现指数退避伪代码。</t>
        </is>
      </c>
      <c r="E15" s="5" t="n">
        <v>4</v>
      </c>
      <c r="F15" s="6" t="inlineStr"/>
      <c r="G15" s="6" t="inlineStr"/>
      <c r="H15" s="6" t="inlineStr">
        <is>
          <t>未开始</t>
        </is>
      </c>
      <c r="I15" s="6" t="inlineStr"/>
      <c r="J15" s="6" t="inlineStr"/>
    </row>
    <row r="16">
      <c r="A16" s="6" t="inlineStr"/>
      <c r="B16" s="5" t="n">
        <v>3</v>
      </c>
      <c r="C16" s="5" t="inlineStr">
        <is>
          <t>Day 5</t>
        </is>
      </c>
      <c r="D16" s="5" t="inlineStr">
        <is>
          <t>Day 5（4h）：完成故障注入实验和一篇可靠性 ADR。</t>
        </is>
      </c>
      <c r="E16" s="5" t="n">
        <v>4</v>
      </c>
      <c r="F16" s="6" t="inlineStr"/>
      <c r="G16" s="6" t="inlineStr"/>
      <c r="H16" s="6" t="inlineStr">
        <is>
          <t>未开始</t>
        </is>
      </c>
      <c r="I16" s="6" t="inlineStr"/>
      <c r="J16" s="6" t="inlineStr"/>
    </row>
    <row r="17">
      <c r="A17" s="6" t="inlineStr"/>
      <c r="B17" s="5" t="n">
        <v>4</v>
      </c>
      <c r="C17" s="5" t="inlineStr">
        <is>
          <t>Day 1</t>
        </is>
      </c>
      <c r="D17" s="5" t="inlineStr">
        <is>
          <t>Day 1（4h）：写 Dockerfile，使用非 root 用户；构建并记录镜像大小。</t>
        </is>
      </c>
      <c r="E17" s="5" t="n">
        <v>4</v>
      </c>
      <c r="F17" s="6" t="inlineStr"/>
      <c r="G17" s="6" t="inlineStr"/>
      <c r="H17" s="6" t="inlineStr">
        <is>
          <t>未开始</t>
        </is>
      </c>
      <c r="I17" s="6" t="inlineStr"/>
      <c r="J17" s="6" t="inlineStr"/>
    </row>
    <row r="18">
      <c r="A18" s="6" t="inlineStr"/>
      <c r="B18" s="5" t="n">
        <v>4</v>
      </c>
      <c r="C18" s="5" t="inlineStr">
        <is>
          <t>Day 2</t>
        </is>
      </c>
      <c r="D18" s="5" t="inlineStr">
        <is>
          <t>Day 2（4h）：写 Compose 与 healthcheck；运行后保存 /healthz 响应。</t>
        </is>
      </c>
      <c r="E18" s="5" t="n">
        <v>4</v>
      </c>
      <c r="F18" s="6" t="inlineStr"/>
      <c r="G18" s="6" t="inlineStr"/>
      <c r="H18" s="6" t="inlineStr">
        <is>
          <t>未开始</t>
        </is>
      </c>
      <c r="I18" s="6" t="inlineStr"/>
      <c r="J18" s="6" t="inlineStr"/>
    </row>
    <row r="19">
      <c r="A19" s="6" t="inlineStr"/>
      <c r="B19" s="5" t="n">
        <v>4</v>
      </c>
      <c r="C19" s="5" t="inlineStr">
        <is>
          <t>Day 3</t>
        </is>
      </c>
      <c r="D19" s="5" t="inlineStr">
        <is>
          <t>Day 3（4h）：配置 CI 检查并故意提交 lint 错误验证阻断。</t>
        </is>
      </c>
      <c r="E19" s="5" t="n">
        <v>4</v>
      </c>
      <c r="F19" s="6" t="inlineStr"/>
      <c r="G19" s="6" t="inlineStr"/>
      <c r="H19" s="6" t="inlineStr">
        <is>
          <t>未开始</t>
        </is>
      </c>
      <c r="I19" s="6" t="inlineStr"/>
      <c r="J19" s="6" t="inlineStr"/>
    </row>
    <row r="20">
      <c r="A20" s="6" t="inlineStr"/>
      <c r="B20" s="5" t="n">
        <v>4</v>
      </c>
      <c r="C20" s="5" t="inlineStr">
        <is>
          <t>Day 4</t>
        </is>
      </c>
      <c r="D20" s="5" t="inlineStr">
        <is>
          <t>Day 4（4h）：写发布检查与回滚 runbook，进行一次演练。</t>
        </is>
      </c>
      <c r="E20" s="5" t="n">
        <v>4</v>
      </c>
      <c r="F20" s="6" t="inlineStr"/>
      <c r="G20" s="6" t="inlineStr"/>
      <c r="H20" s="6" t="inlineStr">
        <is>
          <t>未开始</t>
        </is>
      </c>
      <c r="I20" s="6" t="inlineStr"/>
      <c r="J20" s="6" t="inlineStr"/>
    </row>
    <row r="21">
      <c r="A21" s="6" t="inlineStr"/>
      <c r="B21" s="5" t="n">
        <v>4</v>
      </c>
      <c r="C21" s="5" t="inlineStr">
        <is>
          <t>Day 5</t>
        </is>
      </c>
      <c r="D21" s="5" t="inlineStr">
        <is>
          <t>Day 5（4h）：整理 Week 1–4 项目到可演示状态，录制 3 分钟启动演示。</t>
        </is>
      </c>
      <c r="E21" s="5" t="n">
        <v>4</v>
      </c>
      <c r="F21" s="6" t="inlineStr"/>
      <c r="G21" s="6" t="inlineStr"/>
      <c r="H21" s="6" t="inlineStr">
        <is>
          <t>未开始</t>
        </is>
      </c>
      <c r="I21" s="6" t="inlineStr"/>
      <c r="J21" s="6" t="inlineStr"/>
    </row>
    <row r="22">
      <c r="A22" s="6" t="inlineStr"/>
      <c r="B22" s="5" t="n">
        <v>5</v>
      </c>
      <c r="C22" s="5" t="inlineStr">
        <is>
          <t>Day 1</t>
        </is>
      </c>
      <c r="D22" s="5" t="inlineStr">
        <is>
          <t>Day 1（4h）：阅读模型与 usage 官方文档，写术语卡片和版本风险记录。</t>
        </is>
      </c>
      <c r="E22" s="5" t="n">
        <v>4</v>
      </c>
      <c r="F22" s="6" t="inlineStr"/>
      <c r="G22" s="6" t="inlineStr"/>
      <c r="H22" s="6" t="inlineStr">
        <is>
          <t>未开始</t>
        </is>
      </c>
      <c r="I22" s="6" t="inlineStr"/>
      <c r="J22" s="6" t="inlineStr"/>
    </row>
    <row r="23">
      <c r="A23" s="6" t="inlineStr"/>
      <c r="B23" s="5" t="n">
        <v>5</v>
      </c>
      <c r="C23" s="5" t="inlineStr">
        <is>
          <t>Day 2</t>
        </is>
      </c>
      <c r="D23" s="5" t="inlineStr">
        <is>
          <t>Day 2（4h）：实现 ModelClient Protocol、retryable/non-retryable 异常和 Mock。</t>
        </is>
      </c>
      <c r="E23" s="5" t="n">
        <v>4</v>
      </c>
      <c r="F23" s="6" t="inlineStr"/>
      <c r="G23" s="6" t="inlineStr"/>
      <c r="H23" s="6" t="inlineStr">
        <is>
          <t>未开始</t>
        </is>
      </c>
      <c r="I23" s="6" t="inlineStr"/>
      <c r="J23" s="6" t="inlineStr"/>
    </row>
    <row r="24">
      <c r="A24" s="6" t="inlineStr"/>
      <c r="B24" s="5" t="n">
        <v>5</v>
      </c>
      <c r="C24" s="5" t="inlineStr">
        <is>
          <t>Day 3</t>
        </is>
      </c>
      <c r="D24" s="5" t="inlineStr">
        <is>
          <t>Day 3（4h）：运行采样实验并保存原始数据；计算均值与 P95。</t>
        </is>
      </c>
      <c r="E24" s="5" t="n">
        <v>4</v>
      </c>
      <c r="F24" s="6" t="inlineStr"/>
      <c r="G24" s="6" t="inlineStr"/>
      <c r="H24" s="6" t="inlineStr">
        <is>
          <t>未开始</t>
        </is>
      </c>
      <c r="I24" s="6" t="inlineStr"/>
      <c r="J24" s="6" t="inlineStr"/>
    </row>
    <row r="25">
      <c r="A25" s="6" t="inlineStr"/>
      <c r="B25" s="5" t="n">
        <v>5</v>
      </c>
      <c r="C25" s="5" t="inlineStr">
        <is>
          <t>Day 4</t>
        </is>
      </c>
      <c r="D25" s="5" t="inlineStr">
        <is>
          <t>Day 4（4h）：为每次调用记录 prompt/output token 的接口字段，禁止编造 usage。</t>
        </is>
      </c>
      <c r="E25" s="5" t="n">
        <v>4</v>
      </c>
      <c r="F25" s="6" t="inlineStr"/>
      <c r="G25" s="6" t="inlineStr"/>
      <c r="H25" s="6" t="inlineStr">
        <is>
          <t>未开始</t>
        </is>
      </c>
      <c r="I25" s="6" t="inlineStr"/>
      <c r="J25" s="6" t="inlineStr"/>
    </row>
    <row r="26">
      <c r="A26" s="6" t="inlineStr"/>
      <c r="B26" s="5" t="n">
        <v>5</v>
      </c>
      <c r="C26" s="5" t="inlineStr">
        <is>
          <t>Day 5</t>
        </is>
      </c>
      <c r="D26" s="5" t="inlineStr">
        <is>
          <t>Day 5（4h）：写模型选型 ADR，说明延迟、质量、成本与迁移风险。</t>
        </is>
      </c>
      <c r="E26" s="5" t="n">
        <v>4</v>
      </c>
      <c r="F26" s="6" t="inlineStr"/>
      <c r="G26" s="6" t="inlineStr"/>
      <c r="H26" s="6" t="inlineStr">
        <is>
          <t>未开始</t>
        </is>
      </c>
      <c r="I26" s="6" t="inlineStr"/>
      <c r="J26" s="6" t="inlineStr"/>
    </row>
    <row r="27">
      <c r="A27" s="6" t="inlineStr"/>
      <c r="B27" s="5" t="n">
        <v>6</v>
      </c>
      <c r="C27" s="5" t="inlineStr">
        <is>
          <t>Day 1</t>
        </is>
      </c>
      <c r="D27" s="5" t="inlineStr">
        <is>
          <t>Day 1（4h）：为 4 个 API 结果设计 Pydantic 模型与 JSON Schema。</t>
        </is>
      </c>
      <c r="E27" s="5" t="n">
        <v>4</v>
      </c>
      <c r="F27" s="6" t="inlineStr"/>
      <c r="G27" s="6" t="inlineStr"/>
      <c r="H27" s="6" t="inlineStr">
        <is>
          <t>未开始</t>
        </is>
      </c>
      <c r="I27" s="6" t="inlineStr"/>
      <c r="J27" s="6" t="inlineStr"/>
    </row>
    <row r="28">
      <c r="A28" s="6" t="inlineStr"/>
      <c r="B28" s="5" t="n">
        <v>6</v>
      </c>
      <c r="C28" s="5" t="inlineStr">
        <is>
          <t>Day 2</t>
        </is>
      </c>
      <c r="D28" s="5" t="inlineStr">
        <is>
          <t>Day 2（4h）：编写带版本号的 developer prompt，明确不可信数据边界。</t>
        </is>
      </c>
      <c r="E28" s="5" t="n">
        <v>4</v>
      </c>
      <c r="F28" s="6" t="inlineStr"/>
      <c r="G28" s="6" t="inlineStr"/>
      <c r="H28" s="6" t="inlineStr">
        <is>
          <t>未开始</t>
        </is>
      </c>
      <c r="I28" s="6" t="inlineStr"/>
      <c r="J28" s="6" t="inlineStr"/>
    </row>
    <row r="29">
      <c r="A29" s="6" t="inlineStr"/>
      <c r="B29" s="5" t="n">
        <v>6</v>
      </c>
      <c r="C29" s="5" t="inlineStr">
        <is>
          <t>Day 3</t>
        </is>
      </c>
      <c r="D29" s="5" t="inlineStr">
        <is>
          <t>Day 3（4h）：制作 30 条解析测试 JSONL，统计 schema 通过率。</t>
        </is>
      </c>
      <c r="E29" s="5" t="n">
        <v>4</v>
      </c>
      <c r="F29" s="6" t="inlineStr"/>
      <c r="G29" s="6" t="inlineStr"/>
      <c r="H29" s="6" t="inlineStr">
        <is>
          <t>未开始</t>
        </is>
      </c>
      <c r="I29" s="6" t="inlineStr"/>
      <c r="J29" s="6" t="inlineStr"/>
    </row>
    <row r="30">
      <c r="A30" s="6" t="inlineStr"/>
      <c r="B30" s="5" t="n">
        <v>6</v>
      </c>
      <c r="C30" s="5" t="inlineStr">
        <is>
          <t>Day 4</t>
        </is>
      </c>
      <c r="D30" s="5" t="inlineStr">
        <is>
          <t>Day 4（4h）：实现 parser 失败降级和用户可理解错误，写单元测试。</t>
        </is>
      </c>
      <c r="E30" s="5" t="n">
        <v>4</v>
      </c>
      <c r="F30" s="6" t="inlineStr"/>
      <c r="G30" s="6" t="inlineStr"/>
      <c r="H30" s="6" t="inlineStr">
        <is>
          <t>未开始</t>
        </is>
      </c>
      <c r="I30" s="6" t="inlineStr"/>
      <c r="J30" s="6" t="inlineStr"/>
    </row>
    <row r="31">
      <c r="A31" s="6" t="inlineStr"/>
      <c r="B31" s="5" t="n">
        <v>6</v>
      </c>
      <c r="C31" s="5" t="inlineStr">
        <is>
          <t>Day 5</t>
        </is>
      </c>
      <c r="D31" s="5" t="inlineStr">
        <is>
          <t>Day 5（4h）：完成结构化输出复盘，提交 prompt v1 与 v2 diff。</t>
        </is>
      </c>
      <c r="E31" s="5" t="n">
        <v>4</v>
      </c>
      <c r="F31" s="6" t="inlineStr"/>
      <c r="G31" s="6" t="inlineStr"/>
      <c r="H31" s="6" t="inlineStr">
        <is>
          <t>未开始</t>
        </is>
      </c>
      <c r="I31" s="6" t="inlineStr"/>
      <c r="J31" s="6" t="inlineStr"/>
    </row>
    <row r="32">
      <c r="A32" s="6" t="inlineStr"/>
      <c r="B32" s="5" t="n">
        <v>7</v>
      </c>
      <c r="C32" s="5" t="inlineStr">
        <is>
          <t>Day 1</t>
        </is>
      </c>
      <c r="D32" s="5" t="inlineStr">
        <is>
          <t>Day 1（4h）：画 Agent Loop 时序图；定义 ToolCall、ToolResult 和 call_id 生命周期。</t>
        </is>
      </c>
      <c r="E32" s="5" t="n">
        <v>4</v>
      </c>
      <c r="F32" s="6" t="inlineStr"/>
      <c r="G32" s="6" t="inlineStr"/>
      <c r="H32" s="6" t="inlineStr">
        <is>
          <t>未开始</t>
        </is>
      </c>
      <c r="I32" s="6" t="inlineStr"/>
      <c r="J32" s="6" t="inlineStr"/>
    </row>
    <row r="33">
      <c r="A33" s="6" t="inlineStr"/>
      <c r="B33" s="5" t="n">
        <v>7</v>
      </c>
      <c r="C33" s="5" t="inlineStr">
        <is>
          <t>Day 2</t>
        </is>
      </c>
      <c r="D33" s="5" t="inlineStr">
        <is>
          <t>Day 2（4h）：实现工具注册、schema 输出和参数 Pydantic 校验。</t>
        </is>
      </c>
      <c r="E33" s="5" t="n">
        <v>4</v>
      </c>
      <c r="F33" s="6" t="inlineStr"/>
      <c r="G33" s="6" t="inlineStr"/>
      <c r="H33" s="6" t="inlineStr">
        <is>
          <t>未开始</t>
        </is>
      </c>
      <c r="I33" s="6" t="inlineStr"/>
      <c r="J33" s="6" t="inlineStr"/>
    </row>
    <row r="34">
      <c r="A34" s="6" t="inlineStr"/>
      <c r="B34" s="5" t="n">
        <v>7</v>
      </c>
      <c r="C34" s="5" t="inlineStr">
        <is>
          <t>Day 3</t>
        </is>
      </c>
      <c r="D34" s="5" t="inlineStr">
        <is>
          <t>Day 3（4h）：实现最大步数、重复指纹、工具 timeout；写 4 个失败测试。</t>
        </is>
      </c>
      <c r="E34" s="5" t="n">
        <v>4</v>
      </c>
      <c r="F34" s="6" t="inlineStr"/>
      <c r="G34" s="6" t="inlineStr"/>
      <c r="H34" s="6" t="inlineStr">
        <is>
          <t>未开始</t>
        </is>
      </c>
      <c r="I34" s="6" t="inlineStr"/>
      <c r="J34" s="6" t="inlineStr"/>
    </row>
    <row r="35">
      <c r="A35" s="6" t="inlineStr"/>
      <c r="B35" s="5" t="n">
        <v>7</v>
      </c>
      <c r="C35" s="5" t="inlineStr">
        <is>
          <t>Day 4</t>
        </is>
      </c>
      <c r="D35" s="5" t="inlineStr">
        <is>
          <t>Day 4（4h）：实现人工确认 pending approval，写写工具 disabled 测试。</t>
        </is>
      </c>
      <c r="E35" s="5" t="n">
        <v>4</v>
      </c>
      <c r="F35" s="6" t="inlineStr"/>
      <c r="G35" s="6" t="inlineStr"/>
      <c r="H35" s="6" t="inlineStr">
        <is>
          <t>未开始</t>
        </is>
      </c>
      <c r="I35" s="6" t="inlineStr"/>
      <c r="J35" s="6" t="inlineStr"/>
    </row>
    <row r="36">
      <c r="A36" s="6" t="inlineStr"/>
      <c r="B36" s="5" t="n">
        <v>7</v>
      </c>
      <c r="C36" s="5" t="inlineStr">
        <is>
          <t>Day 5</t>
        </is>
      </c>
      <c r="D36" s="5" t="inlineStr">
        <is>
          <t>Day 5（4h）：运行完整 scripted trace，导出 JSON 日志并做工具选择复盘。</t>
        </is>
      </c>
      <c r="E36" s="5" t="n">
        <v>4</v>
      </c>
      <c r="F36" s="6" t="inlineStr"/>
      <c r="G36" s="6" t="inlineStr"/>
      <c r="H36" s="6" t="inlineStr">
        <is>
          <t>未开始</t>
        </is>
      </c>
      <c r="I36" s="6" t="inlineStr"/>
      <c r="J36" s="6" t="inlineStr"/>
    </row>
    <row r="37">
      <c r="A37" s="6" t="inlineStr"/>
      <c r="B37" s="5" t="n">
        <v>8</v>
      </c>
      <c r="C37" s="5" t="inlineStr">
        <is>
          <t>Day 1</t>
        </is>
      </c>
      <c r="D37" s="5" t="inlineStr">
        <is>
          <t>Day 1（4h）：为 AgentState 画状态转换表，标注可持久化与禁止持久化字段。</t>
        </is>
      </c>
      <c r="E37" s="5" t="n">
        <v>4</v>
      </c>
      <c r="F37" s="6" t="inlineStr"/>
      <c r="G37" s="6" t="inlineStr"/>
      <c r="H37" s="6" t="inlineStr">
        <is>
          <t>未开始</t>
        </is>
      </c>
      <c r="I37" s="6" t="inlineStr"/>
      <c r="J37" s="6" t="inlineStr"/>
    </row>
    <row r="38">
      <c r="A38" s="6" t="inlineStr"/>
      <c r="B38" s="5" t="n">
        <v>8</v>
      </c>
      <c r="C38" s="5" t="inlineStr">
        <is>
          <t>Day 2</t>
        </is>
      </c>
      <c r="D38" s="5" t="inlineStr">
        <is>
          <t>Day 2（4h）：实现 AuditStore、checkpoint payload 脱敏和 tenant scoped 测试。</t>
        </is>
      </c>
      <c r="E38" s="5" t="n">
        <v>4</v>
      </c>
      <c r="F38" s="6" t="inlineStr"/>
      <c r="G38" s="6" t="inlineStr"/>
      <c r="H38" s="6" t="inlineStr">
        <is>
          <t>未开始</t>
        </is>
      </c>
      <c r="I38" s="6" t="inlineStr"/>
      <c r="J38" s="6" t="inlineStr"/>
    </row>
    <row r="39">
      <c r="A39" s="6" t="inlineStr"/>
      <c r="B39" s="5" t="n">
        <v>8</v>
      </c>
      <c r="C39" s="5" t="inlineStr">
        <is>
          <t>Day 3</t>
        </is>
      </c>
      <c r="D39" s="5" t="inlineStr">
        <is>
          <t>Day 3（4h）：设计恢复 token 与 TTL；写跨用户 handle 拒绝测试。</t>
        </is>
      </c>
      <c r="E39" s="5" t="n">
        <v>4</v>
      </c>
      <c r="F39" s="6" t="inlineStr"/>
      <c r="G39" s="6" t="inlineStr"/>
      <c r="H39" s="6" t="inlineStr">
        <is>
          <t>未开始</t>
        </is>
      </c>
      <c r="I39" s="6" t="inlineStr"/>
      <c r="J39" s="6" t="inlineStr"/>
    </row>
    <row r="40">
      <c r="A40" s="6" t="inlineStr"/>
      <c r="B40" s="5" t="n">
        <v>8</v>
      </c>
      <c r="C40" s="5" t="inlineStr">
        <is>
          <t>Day 4</t>
        </is>
      </c>
      <c r="D40" s="5" t="inlineStr">
        <is>
          <t>Day 4（4h）：模拟工具调用后崩溃，写幂等恢复演练记录。</t>
        </is>
      </c>
      <c r="E40" s="5" t="n">
        <v>4</v>
      </c>
      <c r="F40" s="6" t="inlineStr"/>
      <c r="G40" s="6" t="inlineStr"/>
      <c r="H40" s="6" t="inlineStr">
        <is>
          <t>未开始</t>
        </is>
      </c>
      <c r="I40" s="6" t="inlineStr"/>
      <c r="J40" s="6" t="inlineStr"/>
    </row>
    <row r="41">
      <c r="A41" s="6" t="inlineStr"/>
      <c r="B41" s="5" t="n">
        <v>8</v>
      </c>
      <c r="C41" s="5" t="inlineStr">
        <is>
          <t>Day 5</t>
        </is>
      </c>
      <c r="D41" s="5" t="inlineStr">
        <is>
          <t>Day 5（4h）：产出 checkpoint ADR 与人类审批恢复流程图。</t>
        </is>
      </c>
      <c r="E41" s="5" t="n">
        <v>4</v>
      </c>
      <c r="F41" s="6" t="inlineStr"/>
      <c r="G41" s="6" t="inlineStr"/>
      <c r="H41" s="6" t="inlineStr">
        <is>
          <t>未开始</t>
        </is>
      </c>
      <c r="I41" s="6" t="inlineStr"/>
      <c r="J41" s="6" t="inlineStr"/>
    </row>
    <row r="42">
      <c r="A42" s="6" t="inlineStr"/>
      <c r="B42" s="5" t="n">
        <v>9</v>
      </c>
      <c r="C42" s="5" t="inlineStr">
        <is>
          <t>Day 1</t>
        </is>
      </c>
      <c r="D42" s="5" t="inlineStr">
        <is>
          <t>Day 1（4h）：定义文档元数据和 ACL；为租户过滤写测试。</t>
        </is>
      </c>
      <c r="E42" s="5" t="n">
        <v>4</v>
      </c>
      <c r="F42" s="6" t="inlineStr"/>
      <c r="G42" s="6" t="inlineStr"/>
      <c r="H42" s="6" t="inlineStr">
        <is>
          <t>未开始</t>
        </is>
      </c>
      <c r="I42" s="6" t="inlineStr"/>
      <c r="J42" s="6" t="inlineStr"/>
    </row>
    <row r="43">
      <c r="A43" s="6" t="inlineStr"/>
      <c r="B43" s="5" t="n">
        <v>9</v>
      </c>
      <c r="C43" s="5" t="inlineStr">
        <is>
          <t>Day 2</t>
        </is>
      </c>
      <c r="D43" s="5" t="inlineStr">
        <is>
          <t>Day 2（4h）：实现清洗、切分和 ingest manifest，处理空文档与重复文件。</t>
        </is>
      </c>
      <c r="E43" s="5" t="n">
        <v>4</v>
      </c>
      <c r="F43" s="6" t="inlineStr"/>
      <c r="G43" s="6" t="inlineStr"/>
      <c r="H43" s="6" t="inlineStr">
        <is>
          <t>未开始</t>
        </is>
      </c>
      <c r="I43" s="6" t="inlineStr"/>
      <c r="J43" s="6" t="inlineStr"/>
    </row>
    <row r="44">
      <c r="A44" s="6" t="inlineStr"/>
      <c r="B44" s="5" t="n">
        <v>9</v>
      </c>
      <c r="C44" s="5" t="inlineStr">
        <is>
          <t>Day 3</t>
        </is>
      </c>
      <c r="D44" s="5" t="inlineStr">
        <is>
          <t>Day 3（4h）：实现 FTS/embedding 接口，输出 top-k 与 source chunk。</t>
        </is>
      </c>
      <c r="E44" s="5" t="n">
        <v>4</v>
      </c>
      <c r="F44" s="6" t="inlineStr"/>
      <c r="G44" s="6" t="inlineStr"/>
      <c r="H44" s="6" t="inlineStr">
        <is>
          <t>未开始</t>
        </is>
      </c>
      <c r="I44" s="6" t="inlineStr"/>
      <c r="J44" s="6" t="inlineStr"/>
    </row>
    <row r="45">
      <c r="A45" s="6" t="inlineStr"/>
      <c r="B45" s="5" t="n">
        <v>9</v>
      </c>
      <c r="C45" s="5" t="inlineStr">
        <is>
          <t>Day 4</t>
        </is>
      </c>
      <c r="D45" s="5" t="inlineStr">
        <is>
          <t>Day 4（4h）：跑 3 组切分实验，手工标注 20 条相关性。</t>
        </is>
      </c>
      <c r="E45" s="5" t="n">
        <v>4</v>
      </c>
      <c r="F45" s="6" t="inlineStr"/>
      <c r="G45" s="6" t="inlineStr"/>
      <c r="H45" s="6" t="inlineStr">
        <is>
          <t>未开始</t>
        </is>
      </c>
      <c r="I45" s="6" t="inlineStr"/>
      <c r="J45" s="6" t="inlineStr"/>
    </row>
    <row r="46">
      <c r="A46" s="6" t="inlineStr"/>
      <c r="B46" s="5" t="n">
        <v>9</v>
      </c>
      <c r="C46" s="5" t="inlineStr">
        <is>
          <t>Day 5</t>
        </is>
      </c>
      <c r="D46" s="5" t="inlineStr">
        <is>
          <t>Day 5（4h）：实现 citation mapping 与无答案回复，提交 RAG 实验报告。</t>
        </is>
      </c>
      <c r="E46" s="5" t="n">
        <v>4</v>
      </c>
      <c r="F46" s="6" t="inlineStr"/>
      <c r="G46" s="6" t="inlineStr"/>
      <c r="H46" s="6" t="inlineStr">
        <is>
          <t>未开始</t>
        </is>
      </c>
      <c r="I46" s="6" t="inlineStr"/>
      <c r="J46" s="6" t="inlineStr"/>
    </row>
    <row r="47">
      <c r="A47" s="6" t="inlineStr"/>
      <c r="B47" s="5" t="n">
        <v>10</v>
      </c>
      <c r="C47" s="5" t="inlineStr">
        <is>
          <t>Day 1</t>
        </is>
      </c>
      <c r="D47" s="5" t="inlineStr">
        <is>
          <t>Day 1（4h）：写 JSONL schema 与 30 条 gold retrieval case。</t>
        </is>
      </c>
      <c r="E47" s="5" t="n">
        <v>4</v>
      </c>
      <c r="F47" s="6" t="inlineStr"/>
      <c r="G47" s="6" t="inlineStr"/>
      <c r="H47" s="6" t="inlineStr">
        <is>
          <t>未开始</t>
        </is>
      </c>
      <c r="I47" s="6" t="inlineStr"/>
      <c r="J47" s="6" t="inlineStr"/>
    </row>
    <row r="48">
      <c r="A48" s="6" t="inlineStr"/>
      <c r="B48" s="5" t="n">
        <v>10</v>
      </c>
      <c r="C48" s="5" t="inlineStr">
        <is>
          <t>Day 2</t>
        </is>
      </c>
      <c r="D48" s="5" t="inlineStr">
        <is>
          <t>Day 2（4h）：实现 Recall@K、MRR、引用正确率计算并写单元测试。</t>
        </is>
      </c>
      <c r="E48" s="5" t="n">
        <v>4</v>
      </c>
      <c r="F48" s="6" t="inlineStr"/>
      <c r="G48" s="6" t="inlineStr"/>
      <c r="H48" s="6" t="inlineStr">
        <is>
          <t>未开始</t>
        </is>
      </c>
      <c r="I48" s="6" t="inlineStr"/>
      <c r="J48" s="6" t="inlineStr"/>
    </row>
    <row r="49">
      <c r="A49" s="6" t="inlineStr"/>
      <c r="B49" s="5" t="n">
        <v>10</v>
      </c>
      <c r="C49" s="5" t="inlineStr">
        <is>
          <t>Day 3</t>
        </is>
      </c>
      <c r="D49" s="5" t="inlineStr">
        <is>
          <t>Day 3（4h）：画 LangGraph 状态图，定义 node 输入输出和 checkpoint。</t>
        </is>
      </c>
      <c r="E49" s="5" t="n">
        <v>4</v>
      </c>
      <c r="F49" s="6" t="inlineStr"/>
      <c r="G49" s="6" t="inlineStr"/>
      <c r="H49" s="6" t="inlineStr">
        <is>
          <t>未开始</t>
        </is>
      </c>
      <c r="I49" s="6" t="inlineStr"/>
      <c r="J49" s="6" t="inlineStr"/>
    </row>
    <row r="50">
      <c r="A50" s="6" t="inlineStr"/>
      <c r="B50" s="5" t="n">
        <v>10</v>
      </c>
      <c r="C50" s="5" t="inlineStr">
        <is>
          <t>Day 4</t>
        </is>
      </c>
      <c r="D50" s="5" t="inlineStr">
        <is>
          <t>Day 4（4h）：执行 rerank 对比实验，生成评测报告。</t>
        </is>
      </c>
      <c r="E50" s="5" t="n">
        <v>4</v>
      </c>
      <c r="F50" s="6" t="inlineStr"/>
      <c r="G50" s="6" t="inlineStr"/>
      <c r="H50" s="6" t="inlineStr">
        <is>
          <t>未开始</t>
        </is>
      </c>
      <c r="I50" s="6" t="inlineStr"/>
      <c r="J50" s="6" t="inlineStr"/>
    </row>
    <row r="51">
      <c r="A51" s="6" t="inlineStr"/>
      <c r="B51" s="5" t="n">
        <v>10</v>
      </c>
      <c r="C51" s="5" t="inlineStr">
        <is>
          <t>Day 5</t>
        </is>
      </c>
      <c r="D51" s="5" t="inlineStr">
        <is>
          <t>Day 5（4h）：用 interrupt 模拟审批，保存恢复 trace 与周复盘。</t>
        </is>
      </c>
      <c r="E51" s="5" t="n">
        <v>4</v>
      </c>
      <c r="F51" s="6" t="inlineStr"/>
      <c r="G51" s="6" t="inlineStr"/>
      <c r="H51" s="6" t="inlineStr">
        <is>
          <t>未开始</t>
        </is>
      </c>
      <c r="I51" s="6" t="inlineStr"/>
      <c r="J51" s="6" t="inlineStr"/>
    </row>
    <row r="52">
      <c r="A52" s="6" t="inlineStr"/>
      <c r="B52" s="5" t="n">
        <v>11</v>
      </c>
      <c r="C52" s="5" t="inlineStr">
        <is>
          <t>Day 1</t>
        </is>
      </c>
      <c r="D52" s="5" t="inlineStr">
        <is>
          <t>Day 1（4h）：阅读 SDK primitives，建立手写 loop 与 SDK feature mapping。</t>
        </is>
      </c>
      <c r="E52" s="5" t="n">
        <v>4</v>
      </c>
      <c r="F52" s="6" t="inlineStr"/>
      <c r="G52" s="6" t="inlineStr"/>
      <c r="H52" s="6" t="inlineStr">
        <is>
          <t>未开始</t>
        </is>
      </c>
      <c r="I52" s="6" t="inlineStr"/>
      <c r="J52" s="6" t="inlineStr"/>
    </row>
    <row r="53">
      <c r="A53" s="6" t="inlineStr"/>
      <c r="B53" s="5" t="n">
        <v>11</v>
      </c>
      <c r="C53" s="5" t="inlineStr">
        <is>
          <t>Day 2</t>
        </is>
      </c>
      <c r="D53" s="5" t="inlineStr">
        <is>
          <t>Day 2（4h）：实现单 Agent SDK 对照分支并保留相同测试集。</t>
        </is>
      </c>
      <c r="E53" s="5" t="n">
        <v>4</v>
      </c>
      <c r="F53" s="6" t="inlineStr"/>
      <c r="G53" s="6" t="inlineStr"/>
      <c r="H53" s="6" t="inlineStr">
        <is>
          <t>未开始</t>
        </is>
      </c>
      <c r="I53" s="6" t="inlineStr"/>
      <c r="J53" s="6" t="inlineStr"/>
    </row>
    <row r="54">
      <c r="A54" s="6" t="inlineStr"/>
      <c r="B54" s="5" t="n">
        <v>11</v>
      </c>
      <c r="C54" s="5" t="inlineStr">
        <is>
          <t>Day 3</t>
        </is>
      </c>
      <c r="D54" s="5" t="inlineStr">
        <is>
          <t>Day 3（4h）：实现检索专家作为受限工具，定义结构化交接契约。</t>
        </is>
      </c>
      <c r="E54" s="5" t="n">
        <v>4</v>
      </c>
      <c r="F54" s="6" t="inlineStr"/>
      <c r="G54" s="6" t="inlineStr"/>
      <c r="H54" s="6" t="inlineStr">
        <is>
          <t>未开始</t>
        </is>
      </c>
      <c r="I54" s="6" t="inlineStr"/>
      <c r="J54" s="6" t="inlineStr"/>
    </row>
    <row r="55">
      <c r="A55" s="6" t="inlineStr"/>
      <c r="B55" s="5" t="n">
        <v>11</v>
      </c>
      <c r="C55" s="5" t="inlineStr">
        <is>
          <t>Day 4</t>
        </is>
      </c>
      <c r="D55" s="5" t="inlineStr">
        <is>
          <t>Day 4（4h）：比较两版 trace、步骤数和错误面，写实验表。</t>
        </is>
      </c>
      <c r="E55" s="5" t="n">
        <v>4</v>
      </c>
      <c r="F55" s="6" t="inlineStr"/>
      <c r="G55" s="6" t="inlineStr"/>
      <c r="H55" s="6" t="inlineStr">
        <is>
          <t>未开始</t>
        </is>
      </c>
      <c r="I55" s="6" t="inlineStr"/>
      <c r="J55" s="6" t="inlineStr"/>
    </row>
    <row r="56">
      <c r="A56" s="6" t="inlineStr"/>
      <c r="B56" s="5" t="n">
        <v>11</v>
      </c>
      <c r="C56" s="5" t="inlineStr">
        <is>
          <t>Day 5</t>
        </is>
      </c>
      <c r="D56" s="5" t="inlineStr">
        <is>
          <t>Day 5（4h）：提交框架选型 ADR 与迁移风险复盘。</t>
        </is>
      </c>
      <c r="E56" s="5" t="n">
        <v>4</v>
      </c>
      <c r="F56" s="6" t="inlineStr"/>
      <c r="G56" s="6" t="inlineStr"/>
      <c r="H56" s="6" t="inlineStr">
        <is>
          <t>未开始</t>
        </is>
      </c>
      <c r="I56" s="6" t="inlineStr"/>
      <c r="J56" s="6" t="inlineStr"/>
    </row>
    <row r="57">
      <c r="A57" s="6" t="inlineStr"/>
      <c r="B57" s="5" t="n">
        <v>12</v>
      </c>
      <c r="C57" s="5" t="inlineStr">
        <is>
          <t>Day 1</t>
        </is>
      </c>
      <c r="D57" s="5" t="inlineStr">
        <is>
          <t>Day 1（4h）：阅读 MCP 架构与授权规范，画 host-client-server 图。</t>
        </is>
      </c>
      <c r="E57" s="5" t="n">
        <v>4</v>
      </c>
      <c r="F57" s="6" t="inlineStr"/>
      <c r="G57" s="6" t="inlineStr"/>
      <c r="H57" s="6" t="inlineStr">
        <is>
          <t>未开始</t>
        </is>
      </c>
      <c r="I57" s="6" t="inlineStr"/>
      <c r="J57" s="6" t="inlineStr"/>
    </row>
    <row r="58">
      <c r="A58" s="6" t="inlineStr"/>
      <c r="B58" s="5" t="n">
        <v>12</v>
      </c>
      <c r="C58" s="5" t="inlineStr">
        <is>
          <t>Day 2</t>
        </is>
      </c>
      <c r="D58" s="5" t="inlineStr">
        <is>
          <t>Day 2（4h）：写最小工具 schema、scope 表和用户同意文案。</t>
        </is>
      </c>
      <c r="E58" s="5" t="n">
        <v>4</v>
      </c>
      <c r="F58" s="6" t="inlineStr"/>
      <c r="G58" s="6" t="inlineStr"/>
      <c r="H58" s="6" t="inlineStr">
        <is>
          <t>未开始</t>
        </is>
      </c>
      <c r="I58" s="6" t="inlineStr"/>
      <c r="J58" s="6" t="inlineStr"/>
    </row>
    <row r="59">
      <c r="A59" s="6" t="inlineStr"/>
      <c r="B59" s="5" t="n">
        <v>12</v>
      </c>
      <c r="C59" s="5" t="inlineStr">
        <is>
          <t>Day 3</t>
        </is>
      </c>
      <c r="D59" s="5" t="inlineStr">
        <is>
          <t>Day 3（4h）：实现目录/命令 allowlist 和服务端参数覆盖测试。</t>
        </is>
      </c>
      <c r="E59" s="5" t="n">
        <v>4</v>
      </c>
      <c r="F59" s="6" t="inlineStr"/>
      <c r="G59" s="6" t="inlineStr"/>
      <c r="H59" s="6" t="inlineStr">
        <is>
          <t>未开始</t>
        </is>
      </c>
      <c r="I59" s="6" t="inlineStr"/>
      <c r="J59" s="6" t="inlineStr"/>
    </row>
    <row r="60">
      <c r="A60" s="6" t="inlineStr"/>
      <c r="B60" s="5" t="n">
        <v>12</v>
      </c>
      <c r="C60" s="5" t="inlineStr">
        <is>
          <t>Day 4</t>
        </is>
      </c>
      <c r="D60" s="5" t="inlineStr">
        <is>
          <t>Day 4（4h）：执行 SSRF、token audience、state-handle 越权测试。</t>
        </is>
      </c>
      <c r="E60" s="5" t="n">
        <v>4</v>
      </c>
      <c r="F60" s="6" t="inlineStr"/>
      <c r="G60" s="6" t="inlineStr"/>
      <c r="H60" s="6" t="inlineStr">
        <is>
          <t>未开始</t>
        </is>
      </c>
      <c r="I60" s="6" t="inlineStr"/>
      <c r="J60" s="6" t="inlineStr"/>
    </row>
    <row r="61">
      <c r="A61" s="6" t="inlineStr"/>
      <c r="B61" s="5" t="n">
        <v>12</v>
      </c>
      <c r="C61" s="5" t="inlineStr">
        <is>
          <t>Day 5</t>
        </is>
      </c>
      <c r="D61" s="5" t="inlineStr">
        <is>
          <t>Day 5（4h）：完成 MCP threat model 与集成审查 checklist。</t>
        </is>
      </c>
      <c r="E61" s="5" t="n">
        <v>4</v>
      </c>
      <c r="F61" s="6" t="inlineStr"/>
      <c r="G61" s="6" t="inlineStr"/>
      <c r="H61" s="6" t="inlineStr">
        <is>
          <t>未开始</t>
        </is>
      </c>
      <c r="I61" s="6" t="inlineStr"/>
      <c r="J61" s="6" t="inlineStr"/>
    </row>
    <row r="62">
      <c r="A62" s="6" t="inlineStr"/>
      <c r="B62" s="5" t="n">
        <v>13</v>
      </c>
      <c r="C62" s="5" t="inlineStr">
        <is>
          <t>Day 1</t>
        </is>
      </c>
      <c r="D62" s="5" t="inlineStr">
        <is>
          <t>Day 1（4h）：为项目一画 DFD 和 STRIDE 风险表。</t>
        </is>
      </c>
      <c r="E62" s="5" t="n">
        <v>4</v>
      </c>
      <c r="F62" s="6" t="inlineStr"/>
      <c r="G62" s="6" t="inlineStr"/>
      <c r="H62" s="6" t="inlineStr">
        <is>
          <t>未开始</t>
        </is>
      </c>
      <c r="I62" s="6" t="inlineStr"/>
      <c r="J62" s="6" t="inlineStr"/>
    </row>
    <row r="63">
      <c r="A63" s="6" t="inlineStr"/>
      <c r="B63" s="5" t="n">
        <v>13</v>
      </c>
      <c r="C63" s="5" t="inlineStr">
        <is>
          <t>Day 2</t>
        </is>
      </c>
      <c r="D63" s="5" t="inlineStr">
        <is>
          <t>Day 2（4h）：建立 15 条 prompt injection/indirect injection JSONL。</t>
        </is>
      </c>
      <c r="E63" s="5" t="n">
        <v>4</v>
      </c>
      <c r="F63" s="6" t="inlineStr"/>
      <c r="G63" s="6" t="inlineStr"/>
      <c r="H63" s="6" t="inlineStr">
        <is>
          <t>未开始</t>
        </is>
      </c>
      <c r="I63" s="6" t="inlineStr"/>
      <c r="J63" s="6" t="inlineStr"/>
    </row>
    <row r="64">
      <c r="A64" s="6" t="inlineStr"/>
      <c r="B64" s="5" t="n">
        <v>13</v>
      </c>
      <c r="C64" s="5" t="inlineStr">
        <is>
          <t>Day 3</t>
        </is>
      </c>
      <c r="D64" s="5" t="inlineStr">
        <is>
          <t>Day 3（4h）：实现 tenant/role 策略与 deny-by-default 测试。</t>
        </is>
      </c>
      <c r="E64" s="5" t="n">
        <v>4</v>
      </c>
      <c r="F64" s="6" t="inlineStr"/>
      <c r="G64" s="6" t="inlineStr"/>
      <c r="H64" s="6" t="inlineStr">
        <is>
          <t>未开始</t>
        </is>
      </c>
      <c r="I64" s="6" t="inlineStr"/>
      <c r="J64" s="6" t="inlineStr"/>
    </row>
    <row r="65">
      <c r="A65" s="6" t="inlineStr"/>
      <c r="B65" s="5" t="n">
        <v>13</v>
      </c>
      <c r="C65" s="5" t="inlineStr">
        <is>
          <t>Day 4</t>
        </is>
      </c>
      <c r="D65" s="5" t="inlineStr">
        <is>
          <t>Day 4（4h）：执行数据泄漏和工具越权红队，创建修复 issue。</t>
        </is>
      </c>
      <c r="E65" s="5" t="n">
        <v>4</v>
      </c>
      <c r="F65" s="6" t="inlineStr"/>
      <c r="G65" s="6" t="inlineStr"/>
      <c r="H65" s="6" t="inlineStr">
        <is>
          <t>未开始</t>
        </is>
      </c>
      <c r="I65" s="6" t="inlineStr"/>
      <c r="J65" s="6" t="inlineStr"/>
    </row>
    <row r="66">
      <c r="A66" s="6" t="inlineStr"/>
      <c r="B66" s="5" t="n">
        <v>13</v>
      </c>
      <c r="C66" s="5" t="inlineStr">
        <is>
          <t>Day 5</t>
        </is>
      </c>
      <c r="D66" s="5" t="inlineStr">
        <is>
          <t>Day 5（4h）：写安全复盘、残余风险与上线门槛。</t>
        </is>
      </c>
      <c r="E66" s="5" t="n">
        <v>4</v>
      </c>
      <c r="F66" s="6" t="inlineStr"/>
      <c r="G66" s="6" t="inlineStr"/>
      <c r="H66" s="6" t="inlineStr">
        <is>
          <t>未开始</t>
        </is>
      </c>
      <c r="I66" s="6" t="inlineStr"/>
      <c r="J66" s="6" t="inlineStr"/>
    </row>
    <row r="67">
      <c r="A67" s="6" t="inlineStr"/>
      <c r="B67" s="5" t="n">
        <v>14</v>
      </c>
      <c r="C67" s="5" t="inlineStr">
        <is>
          <t>Day 1</t>
        </is>
      </c>
      <c r="D67" s="5" t="inlineStr">
        <is>
          <t>Day 1（4h）：冻结项目一需求、非目标、数据模型与架构图。</t>
        </is>
      </c>
      <c r="E67" s="5" t="n">
        <v>4</v>
      </c>
      <c r="F67" s="6" t="inlineStr"/>
      <c r="G67" s="6" t="inlineStr"/>
      <c r="H67" s="6" t="inlineStr">
        <is>
          <t>未开始</t>
        </is>
      </c>
      <c r="I67" s="6" t="inlineStr"/>
      <c r="J67" s="6" t="inlineStr"/>
    </row>
    <row r="68">
      <c r="A68" s="6" t="inlineStr"/>
      <c r="B68" s="5" t="n">
        <v>14</v>
      </c>
      <c r="C68" s="5" t="inlineStr">
        <is>
          <t>Day 2</t>
        </is>
      </c>
      <c r="D68" s="5" t="inlineStr">
        <is>
          <t>Day 2（4h）：实现摄取、ACL filter、hybrid retrieve、citation 测试。</t>
        </is>
      </c>
      <c r="E68" s="5" t="n">
        <v>4</v>
      </c>
      <c r="F68" s="6" t="inlineStr"/>
      <c r="G68" s="6" t="inlineStr"/>
      <c r="H68" s="6" t="inlineStr">
        <is>
          <t>未开始</t>
        </is>
      </c>
      <c r="I68" s="6" t="inlineStr"/>
      <c r="J68" s="6" t="inlineStr"/>
    </row>
    <row r="69">
      <c r="A69" s="6" t="inlineStr"/>
      <c r="B69" s="5" t="n">
        <v>14</v>
      </c>
      <c r="C69" s="5" t="inlineStr">
        <is>
          <t>Day 3</t>
        </is>
      </c>
      <c r="D69" s="5" t="inlineStr">
        <is>
          <t>Day 3（4h）：实现工单 read/draft/approve 与 audit trace。</t>
        </is>
      </c>
      <c r="E69" s="5" t="n">
        <v>4</v>
      </c>
      <c r="F69" s="6" t="inlineStr"/>
      <c r="G69" s="6" t="inlineStr"/>
      <c r="H69" s="6" t="inlineStr">
        <is>
          <t>未开始</t>
        </is>
      </c>
      <c r="I69" s="6" t="inlineStr"/>
      <c r="J69" s="6" t="inlineStr"/>
    </row>
    <row r="70">
      <c r="A70" s="6" t="inlineStr"/>
      <c r="B70" s="5" t="n">
        <v>14</v>
      </c>
      <c r="C70" s="5" t="inlineStr">
        <is>
          <t>Day 4</t>
        </is>
      </c>
      <c r="D70" s="5" t="inlineStr">
        <is>
          <t>Day 4（4h）：跑评测与注入测试，修复最高优先级失败。</t>
        </is>
      </c>
      <c r="E70" s="5" t="n">
        <v>4</v>
      </c>
      <c r="F70" s="6" t="inlineStr"/>
      <c r="G70" s="6" t="inlineStr"/>
      <c r="H70" s="6" t="inlineStr">
        <is>
          <t>未开始</t>
        </is>
      </c>
      <c r="I70" s="6" t="inlineStr"/>
      <c r="J70" s="6" t="inlineStr"/>
    </row>
    <row r="71">
      <c r="A71" s="6" t="inlineStr"/>
      <c r="B71" s="5" t="n">
        <v>14</v>
      </c>
      <c r="C71" s="5" t="inlineStr">
        <is>
          <t>Day 5</t>
        </is>
      </c>
      <c r="D71" s="5" t="inlineStr">
        <is>
          <t>Day 5（4h）：写 README、录制演示、完成项目答辩 10 分钟讲稿。</t>
        </is>
      </c>
      <c r="E71" s="5" t="n">
        <v>4</v>
      </c>
      <c r="F71" s="6" t="inlineStr"/>
      <c r="G71" s="6" t="inlineStr"/>
      <c r="H71" s="6" t="inlineStr">
        <is>
          <t>未开始</t>
        </is>
      </c>
      <c r="I71" s="6" t="inlineStr"/>
      <c r="J71" s="6" t="inlineStr"/>
    </row>
    <row r="72">
      <c r="A72" s="6" t="inlineStr"/>
      <c r="B72" s="5" t="n">
        <v>15</v>
      </c>
      <c r="C72" s="5" t="inlineStr">
        <is>
          <t>Day 1</t>
        </is>
      </c>
      <c r="D72" s="5" t="inlineStr">
        <is>
          <t>Day 1（4h）：冻结项目二 threat model、状态机、路径和命令 policy。</t>
        </is>
      </c>
      <c r="E72" s="5" t="n">
        <v>4</v>
      </c>
      <c r="F72" s="6" t="inlineStr"/>
      <c r="G72" s="6" t="inlineStr"/>
      <c r="H72" s="6" t="inlineStr">
        <is>
          <t>未开始</t>
        </is>
      </c>
      <c r="I72" s="6" t="inlineStr"/>
      <c r="J72" s="6" t="inlineStr"/>
    </row>
    <row r="73">
      <c r="A73" s="6" t="inlineStr"/>
      <c r="B73" s="5" t="n">
        <v>15</v>
      </c>
      <c r="C73" s="5" t="inlineStr">
        <is>
          <t>Day 2</t>
        </is>
      </c>
      <c r="D73" s="5" t="inlineStr">
        <is>
          <t>Day 2（4h）：实现 issue→plan schema 和批准界面/接口桩。</t>
        </is>
      </c>
      <c r="E73" s="5" t="n">
        <v>4</v>
      </c>
      <c r="F73" s="6" t="inlineStr"/>
      <c r="G73" s="6" t="inlineStr"/>
      <c r="H73" s="6" t="inlineStr">
        <is>
          <t>未开始</t>
        </is>
      </c>
      <c r="I73" s="6" t="inlineStr"/>
      <c r="J73" s="6" t="inlineStr"/>
    </row>
    <row r="74">
      <c r="A74" s="6" t="inlineStr"/>
      <c r="B74" s="5" t="n">
        <v>15</v>
      </c>
      <c r="C74" s="5" t="inlineStr">
        <is>
          <t>Day 3</t>
        </is>
      </c>
      <c r="D74" s="5" t="inlineStr">
        <is>
          <t>Day 3（4h）：实现路径 allowlist、secret blocklist、命令白名单测试。</t>
        </is>
      </c>
      <c r="E74" s="5" t="n">
        <v>4</v>
      </c>
      <c r="F74" s="6" t="inlineStr"/>
      <c r="G74" s="6" t="inlineStr"/>
      <c r="H74" s="6" t="inlineStr">
        <is>
          <t>未开始</t>
        </is>
      </c>
      <c r="I74" s="6" t="inlineStr"/>
      <c r="J74" s="6" t="inlineStr"/>
    </row>
    <row r="75">
      <c r="A75" s="6" t="inlineStr"/>
      <c r="B75" s="5" t="n">
        <v>15</v>
      </c>
      <c r="C75" s="5" t="inlineStr">
        <is>
          <t>Day 4</t>
        </is>
      </c>
      <c r="D75" s="5" t="inlineStr">
        <is>
          <t>Day 4（4h）：实现 test runner timeout、资源限制和失败恢复记录。</t>
        </is>
      </c>
      <c r="E75" s="5" t="n">
        <v>4</v>
      </c>
      <c r="F75" s="6" t="inlineStr"/>
      <c r="G75" s="6" t="inlineStr"/>
      <c r="H75" s="6" t="inlineStr">
        <is>
          <t>未开始</t>
        </is>
      </c>
      <c r="I75" s="6" t="inlineStr"/>
      <c r="J75" s="6" t="inlineStr"/>
    </row>
    <row r="76">
      <c r="A76" s="6" t="inlineStr"/>
      <c r="B76" s="5" t="n">
        <v>15</v>
      </c>
      <c r="C76" s="5" t="inlineStr">
        <is>
          <t>Day 5</t>
        </is>
      </c>
      <c r="D76" s="5" t="inlineStr">
        <is>
          <t>Day 5（4h）：制作 PR 描述、评测用例、README 和答辩讲稿。</t>
        </is>
      </c>
      <c r="E76" s="5" t="n">
        <v>4</v>
      </c>
      <c r="F76" s="6" t="inlineStr"/>
      <c r="G76" s="6" t="inlineStr"/>
      <c r="H76" s="6" t="inlineStr">
        <is>
          <t>未开始</t>
        </is>
      </c>
      <c r="I76" s="6" t="inlineStr"/>
      <c r="J76" s="6" t="inlineStr"/>
    </row>
    <row r="77">
      <c r="A77" s="6" t="inlineStr"/>
      <c r="B77" s="5" t="n">
        <v>16</v>
      </c>
      <c r="C77" s="5" t="inlineStr">
        <is>
          <t>Day 1</t>
        </is>
      </c>
      <c r="D77" s="5" t="inlineStr">
        <is>
          <t>Day 1（4h）：按结业清单审计两个项目，补齐测试和 README 缺口。</t>
        </is>
      </c>
      <c r="E77" s="5" t="n">
        <v>4</v>
      </c>
      <c r="F77" s="6" t="inlineStr"/>
      <c r="G77" s="6" t="inlineStr"/>
      <c r="H77" s="6" t="inlineStr">
        <is>
          <t>未开始</t>
        </is>
      </c>
      <c r="I77" s="6" t="inlineStr"/>
      <c r="J77" s="6" t="inlineStr"/>
    </row>
    <row r="78">
      <c r="A78" s="6" t="inlineStr"/>
      <c r="B78" s="5" t="n">
        <v>16</v>
      </c>
      <c r="C78" s="5" t="inlineStr">
        <is>
          <t>Day 2</t>
        </is>
      </c>
      <c r="D78" s="5" t="inlineStr">
        <is>
          <t>Day 2（4h）：做模型 429、RAG 空结果、工具 timeout、越权四类故障演练。</t>
        </is>
      </c>
      <c r="E78" s="5" t="n">
        <v>4</v>
      </c>
      <c r="F78" s="6" t="inlineStr"/>
      <c r="G78" s="6" t="inlineStr"/>
      <c r="H78" s="6" t="inlineStr">
        <is>
          <t>未开始</t>
        </is>
      </c>
      <c r="I78" s="6" t="inlineStr"/>
      <c r="J78" s="6" t="inlineStr"/>
    </row>
    <row r="79">
      <c r="A79" s="6" t="inlineStr"/>
      <c r="B79" s="5" t="n">
        <v>16</v>
      </c>
      <c r="C79" s="5" t="inlineStr">
        <is>
          <t>Day 3</t>
        </is>
      </c>
      <c r="D79" s="5" t="inlineStr">
        <is>
          <t>Day 3（4h）：完成每个项目 3 条简历 bullet 和 10 分钟答辩录音。</t>
        </is>
      </c>
      <c r="E79" s="5" t="n">
        <v>4</v>
      </c>
      <c r="F79" s="6" t="inlineStr"/>
      <c r="G79" s="6" t="inlineStr"/>
      <c r="H79" s="6" t="inlineStr">
        <is>
          <t>未开始</t>
        </is>
      </c>
      <c r="I79" s="6" t="inlineStr"/>
      <c r="J79" s="6" t="inlineStr"/>
    </row>
    <row r="80">
      <c r="A80" s="6" t="inlineStr"/>
      <c r="B80" s="5" t="n">
        <v>16</v>
      </c>
      <c r="C80" s="5" t="inlineStr">
        <is>
          <t>Day 4</t>
        </is>
      </c>
      <c r="D80" s="5" t="inlineStr">
        <is>
          <t>Day 4（4h）：进行 20 题模拟面试，记录回答、证据和改进点。</t>
        </is>
      </c>
      <c r="E80" s="5" t="n">
        <v>4</v>
      </c>
      <c r="F80" s="6" t="inlineStr"/>
      <c r="G80" s="6" t="inlineStr"/>
      <c r="H80" s="6" t="inlineStr">
        <is>
          <t>未开始</t>
        </is>
      </c>
      <c r="I80" s="6" t="inlineStr"/>
      <c r="J80" s="6" t="inlineStr"/>
    </row>
    <row r="81">
      <c r="A81" s="6" t="inlineStr"/>
      <c r="B81" s="5" t="n">
        <v>16</v>
      </c>
      <c r="C81" s="5" t="inlineStr">
        <is>
          <t>Day 5</t>
        </is>
      </c>
      <c r="D81" s="5" t="inlineStr">
        <is>
          <t>Day 5（4h）：输出结业验收报告、未来 30 天路线和最终 Git release tag。</t>
        </is>
      </c>
      <c r="E81" s="5" t="n">
        <v>4</v>
      </c>
      <c r="F81" s="6" t="inlineStr"/>
      <c r="G81" s="6" t="inlineStr"/>
      <c r="H81" s="6" t="inlineStr">
        <is>
          <t>未开始</t>
        </is>
      </c>
      <c r="I81" s="6" t="inlineStr"/>
      <c r="J81" s="6" t="inlineStr"/>
    </row>
  </sheetData>
  <autoFilter ref="A1:J81"/>
  <conditionalFormatting sqref="G2:G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16" customWidth="1" min="4" max="4"/>
    <col width="32" customWidth="1" min="5" max="5"/>
    <col width="32" customWidth="1" min="6" max="6"/>
  </cols>
  <sheetData>
    <row r="1" ht="32" customHeight="1">
      <c r="A1" s="1" t="inlineStr">
        <is>
          <t>技能</t>
        </is>
      </c>
      <c r="B1" s="1" t="inlineStr">
        <is>
          <t>说明</t>
        </is>
      </c>
      <c r="C1" s="1" t="inlineStr">
        <is>
          <t>目标分(1-5)</t>
        </is>
      </c>
      <c r="D1" s="1" t="inlineStr">
        <is>
          <t>当前自评(1-5)</t>
        </is>
      </c>
      <c r="E1" s="1" t="inlineStr">
        <is>
          <t>证据</t>
        </is>
      </c>
      <c r="F1" s="1" t="inlineStr">
        <is>
          <t>下一步</t>
        </is>
      </c>
    </row>
    <row r="2">
      <c r="A2" s="5" t="inlineStr">
        <is>
          <t>Python工程化</t>
        </is>
      </c>
      <c r="B2" s="5" t="inlineStr">
        <is>
          <t>类型、异常、测试、包管理</t>
        </is>
      </c>
      <c r="C2" s="5" t="n">
        <v>4</v>
      </c>
      <c r="D2" s="6" t="inlineStr"/>
      <c r="E2" s="6" t="inlineStr"/>
      <c r="F2" s="6" t="inlineStr"/>
    </row>
    <row r="3">
      <c r="A3" s="5" t="inlineStr">
        <is>
          <t>FastAPI与异步</t>
        </is>
      </c>
      <c r="B3" s="5" t="inlineStr">
        <is>
          <t>API、验证、HTTP、超时</t>
        </is>
      </c>
      <c r="C3" s="5" t="n">
        <v>4</v>
      </c>
      <c r="D3" s="6" t="inlineStr"/>
      <c r="E3" s="6" t="inlineStr"/>
      <c r="F3" s="6" t="inlineStr"/>
    </row>
    <row r="4">
      <c r="A4" s="5" t="inlineStr">
        <is>
          <t>数据库与可靠性</t>
        </is>
      </c>
      <c r="B4" s="5" t="inlineStr">
        <is>
          <t>SQL、幂等、审计、队列</t>
        </is>
      </c>
      <c r="C4" s="5" t="n">
        <v>3</v>
      </c>
      <c r="D4" s="6" t="inlineStr"/>
      <c r="E4" s="6" t="inlineStr"/>
      <c r="F4" s="6" t="inlineStr"/>
    </row>
    <row r="5">
      <c r="A5" s="5" t="inlineStr">
        <is>
          <t>LLM接口</t>
        </is>
      </c>
      <c r="B5" s="5" t="inlineStr">
        <is>
          <t>模型、token、结构化输出</t>
        </is>
      </c>
      <c r="C5" s="5" t="n">
        <v>4</v>
      </c>
      <c r="D5" s="6" t="inlineStr"/>
      <c r="E5" s="6" t="inlineStr"/>
      <c r="F5" s="6" t="inlineStr"/>
    </row>
    <row r="6">
      <c r="A6" s="5" t="inlineStr">
        <is>
          <t>Agent Loop与工具</t>
        </is>
      </c>
      <c r="B6" s="5" t="inlineStr">
        <is>
          <t>schema、审批、状态</t>
        </is>
      </c>
      <c r="C6" s="5" t="n">
        <v>4</v>
      </c>
      <c r="D6" s="6" t="inlineStr"/>
      <c r="E6" s="6" t="inlineStr"/>
      <c r="F6" s="6" t="inlineStr"/>
    </row>
    <row r="7">
      <c r="A7" s="5" t="inlineStr">
        <is>
          <t>RAG</t>
        </is>
      </c>
      <c r="B7" s="5" t="inlineStr">
        <is>
          <t>摄取、检索、引用、评测</t>
        </is>
      </c>
      <c r="C7" s="5" t="n">
        <v>4</v>
      </c>
      <c r="D7" s="6" t="inlineStr"/>
      <c r="E7" s="6" t="inlineStr"/>
      <c r="F7" s="6" t="inlineStr"/>
    </row>
    <row r="8">
      <c r="A8" s="5" t="inlineStr">
        <is>
          <t>安全与权限</t>
        </is>
      </c>
      <c r="B8" s="5" t="inlineStr">
        <is>
          <t>注入、RBAC/ABAC、租户</t>
        </is>
      </c>
      <c r="C8" s="5" t="n">
        <v>4</v>
      </c>
      <c r="D8" s="6" t="inlineStr"/>
      <c r="E8" s="6" t="inlineStr"/>
      <c r="F8" s="6" t="inlineStr"/>
    </row>
    <row r="9">
      <c r="A9" s="5" t="inlineStr">
        <is>
          <t>可观测性与评测</t>
        </is>
      </c>
      <c r="B9" s="5" t="inlineStr">
        <is>
          <t>trace、指标、JSONL</t>
        </is>
      </c>
      <c r="C9" s="5" t="n">
        <v>4</v>
      </c>
      <c r="D9" s="6" t="inlineStr"/>
      <c r="E9" s="6" t="inlineStr"/>
      <c r="F9" s="6" t="inlineStr"/>
    </row>
    <row r="10">
      <c r="A10" s="5" t="inlineStr">
        <is>
          <t>部署与交付</t>
        </is>
      </c>
      <c r="B10" s="5" t="inlineStr">
        <is>
          <t>Docker、CI、回滚</t>
        </is>
      </c>
      <c r="C10" s="5" t="n">
        <v>3</v>
      </c>
      <c r="D10" s="6" t="inlineStr"/>
      <c r="E10" s="6" t="inlineStr"/>
      <c r="F10" s="6" t="inlineStr"/>
    </row>
    <row r="11">
      <c r="A11" s="5" t="inlineStr">
        <is>
          <t>沟通与面试</t>
        </is>
      </c>
      <c r="B11" s="5" t="inlineStr">
        <is>
          <t>README、答辩、简历</t>
        </is>
      </c>
      <c r="C11" s="5" t="n">
        <v>3</v>
      </c>
      <c r="D11" s="6" t="inlineStr"/>
      <c r="E11" s="6" t="inlineStr"/>
      <c r="F11" s="6" t="inlineStr"/>
    </row>
  </sheetData>
  <autoFilter ref="A1:F1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12" customWidth="1" min="4" max="4"/>
    <col width="35" customWidth="1" min="5" max="5"/>
    <col width="12" customWidth="1" min="6" max="6"/>
    <col width="32" customWidth="1" min="7" max="7"/>
  </cols>
  <sheetData>
    <row r="1" ht="32" customHeight="1">
      <c r="A1" s="1" t="inlineStr">
        <is>
          <t>项目</t>
        </is>
      </c>
      <c r="B1" s="1" t="inlineStr">
        <is>
          <t>里程碑</t>
        </is>
      </c>
      <c r="C1" s="1" t="inlineStr">
        <is>
          <t>计划周</t>
        </is>
      </c>
      <c r="D1" s="1" t="inlineStr">
        <is>
          <t>负责人</t>
        </is>
      </c>
      <c r="E1" s="1" t="inlineStr">
        <is>
          <t>验收证据</t>
        </is>
      </c>
      <c r="F1" s="1" t="inlineStr">
        <is>
          <t>状态</t>
        </is>
      </c>
      <c r="G1" s="1" t="inlineStr">
        <is>
          <t>风险/阻塞</t>
        </is>
      </c>
    </row>
    <row r="2">
      <c r="A2" s="5" t="inlineStr">
        <is>
          <t>项目一</t>
        </is>
      </c>
      <c r="B2" s="5" t="inlineStr">
        <is>
          <t>需求与威胁模型冻结</t>
        </is>
      </c>
      <c r="C2" s="5" t="n">
        <v>14</v>
      </c>
      <c r="D2" s="6" t="inlineStr">
        <is>
          <t>我</t>
        </is>
      </c>
      <c r="E2" s="6" t="inlineStr"/>
      <c r="F2" s="6" t="inlineStr">
        <is>
          <t>未开始</t>
        </is>
      </c>
      <c r="G2" s="6" t="inlineStr"/>
    </row>
    <row r="3">
      <c r="A3" s="5" t="inlineStr">
        <is>
          <t>项目一</t>
        </is>
      </c>
      <c r="B3" s="5" t="inlineStr">
        <is>
          <t>RAG与ACL完成</t>
        </is>
      </c>
      <c r="C3" s="5" t="n">
        <v>14</v>
      </c>
      <c r="D3" s="6" t="inlineStr">
        <is>
          <t>我</t>
        </is>
      </c>
      <c r="E3" s="6" t="inlineStr"/>
      <c r="F3" s="6" t="inlineStr">
        <is>
          <t>未开始</t>
        </is>
      </c>
      <c r="G3" s="6" t="inlineStr"/>
    </row>
    <row r="4">
      <c r="A4" s="5" t="inlineStr">
        <is>
          <t>项目一</t>
        </is>
      </c>
      <c r="B4" s="5" t="inlineStr">
        <is>
          <t>工单审批与审计完成</t>
        </is>
      </c>
      <c r="C4" s="5" t="n">
        <v>14</v>
      </c>
      <c r="D4" s="6" t="inlineStr">
        <is>
          <t>我</t>
        </is>
      </c>
      <c r="E4" s="6" t="inlineStr"/>
      <c r="F4" s="6" t="inlineStr">
        <is>
          <t>未开始</t>
        </is>
      </c>
      <c r="G4" s="6" t="inlineStr"/>
    </row>
    <row r="5">
      <c r="A5" s="5" t="inlineStr">
        <is>
          <t>项目一</t>
        </is>
      </c>
      <c r="B5" s="5" t="inlineStr">
        <is>
          <t>评测/安全/部署完成</t>
        </is>
      </c>
      <c r="C5" s="5" t="n">
        <v>16</v>
      </c>
      <c r="D5" s="6" t="inlineStr">
        <is>
          <t>我</t>
        </is>
      </c>
      <c r="E5" s="6" t="inlineStr"/>
      <c r="F5" s="6" t="inlineStr">
        <is>
          <t>未开始</t>
        </is>
      </c>
      <c r="G5" s="6" t="inlineStr"/>
    </row>
    <row r="6">
      <c r="A6" s="5" t="inlineStr">
        <is>
          <t>项目二</t>
        </is>
      </c>
      <c r="B6" s="5" t="inlineStr">
        <is>
          <t>策略与状态机冻结</t>
        </is>
      </c>
      <c r="C6" s="5" t="n">
        <v>15</v>
      </c>
      <c r="D6" s="6" t="inlineStr">
        <is>
          <t>我</t>
        </is>
      </c>
      <c r="E6" s="6" t="inlineStr"/>
      <c r="F6" s="6" t="inlineStr">
        <is>
          <t>未开始</t>
        </is>
      </c>
      <c r="G6" s="6" t="inlineStr"/>
    </row>
    <row r="7">
      <c r="A7" s="5" t="inlineStr">
        <is>
          <t>项目二</t>
        </is>
      </c>
      <c r="B7" s="5" t="inlineStr">
        <is>
          <t>受限patch/test完成</t>
        </is>
      </c>
      <c r="C7" s="5" t="n">
        <v>15</v>
      </c>
      <c r="D7" s="6" t="inlineStr">
        <is>
          <t>我</t>
        </is>
      </c>
      <c r="E7" s="6" t="inlineStr"/>
      <c r="F7" s="6" t="inlineStr">
        <is>
          <t>未开始</t>
        </is>
      </c>
      <c r="G7" s="6" t="inlineStr"/>
    </row>
    <row r="8">
      <c r="A8" s="5" t="inlineStr">
        <is>
          <t>项目二</t>
        </is>
      </c>
      <c r="B8" s="5" t="inlineStr">
        <is>
          <t>评测/恢复/部署完成</t>
        </is>
      </c>
      <c r="C8" s="5" t="n">
        <v>16</v>
      </c>
      <c r="D8" s="6" t="inlineStr">
        <is>
          <t>我</t>
        </is>
      </c>
      <c r="E8" s="6" t="inlineStr"/>
      <c r="F8" s="6" t="inlineStr">
        <is>
          <t>未开始</t>
        </is>
      </c>
      <c r="G8" s="6" t="inlineStr"/>
    </row>
    <row r="9">
      <c r="A9" s="5" t="inlineStr">
        <is>
          <t>通用</t>
        </is>
      </c>
      <c r="B9" s="5" t="inlineStr">
        <is>
          <t>答辩与简历完成</t>
        </is>
      </c>
      <c r="C9" s="5" t="n">
        <v>16</v>
      </c>
      <c r="D9" s="6" t="inlineStr">
        <is>
          <t>我</t>
        </is>
      </c>
      <c r="E9" s="6" t="inlineStr"/>
      <c r="F9" s="6" t="inlineStr">
        <is>
          <t>未开始</t>
        </is>
      </c>
      <c r="G9" s="6" t="inlineStr"/>
    </row>
  </sheetData>
  <autoFilter ref="A1:G9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4" customWidth="1" min="4" max="4"/>
    <col width="26" customWidth="1" min="5" max="5"/>
    <col width="16" customWidth="1" min="6" max="6"/>
    <col width="12" customWidth="1" min="7" max="7"/>
    <col width="20" customWidth="1" min="8" max="8"/>
    <col width="28" customWidth="1" min="9" max="9"/>
    <col width="32" customWidth="1" min="10" max="10"/>
  </cols>
  <sheetData>
    <row r="1" ht="32" customHeight="1">
      <c r="A1" s="1" t="inlineStr">
        <is>
          <t>日期</t>
        </is>
      </c>
      <c r="B1" s="1" t="inlineStr">
        <is>
          <t>项目</t>
        </is>
      </c>
      <c r="C1" s="1" t="inlineStr">
        <is>
          <t>数据集版本</t>
        </is>
      </c>
      <c r="D1" s="1" t="inlineStr">
        <is>
          <t>case_id</t>
        </is>
      </c>
      <c r="E1" s="1" t="inlineStr">
        <is>
          <t>指标</t>
        </is>
      </c>
      <c r="F1" s="1" t="inlineStr">
        <is>
          <t>结果</t>
        </is>
      </c>
      <c r="G1" s="1" t="inlineStr">
        <is>
          <t>状态</t>
        </is>
      </c>
      <c r="H1" s="1" t="inlineStr">
        <is>
          <t>失败分类</t>
        </is>
      </c>
      <c r="I1" s="1" t="inlineStr">
        <is>
          <t>trace_id</t>
        </is>
      </c>
      <c r="J1" s="1" t="inlineStr">
        <is>
          <t>备注</t>
        </is>
      </c>
    </row>
    <row r="2">
      <c r="A2" s="6" t="inlineStr"/>
      <c r="B2" s="5" t="inlineStr">
        <is>
          <t>示例项目</t>
        </is>
      </c>
      <c r="C2" s="5" t="inlineStr">
        <is>
          <t>v0.1</t>
        </is>
      </c>
      <c r="D2" s="5" t="inlineStr">
        <is>
          <t>task-001</t>
        </is>
      </c>
      <c r="E2" s="5" t="inlineStr">
        <is>
          <t>任务/工具/权限/安全</t>
        </is>
      </c>
      <c r="F2" s="6" t="inlineStr"/>
      <c r="G2" s="6" t="inlineStr">
        <is>
          <t>待运行</t>
        </is>
      </c>
      <c r="H2" s="6" t="inlineStr"/>
      <c r="I2" s="6" t="inlineStr"/>
      <c r="J2" s="6" t="inlineStr"/>
    </row>
    <row r="3">
      <c r="A3" s="6" t="inlineStr"/>
      <c r="B3" s="5" t="inlineStr">
        <is>
          <t>示例项目</t>
        </is>
      </c>
      <c r="C3" s="5" t="inlineStr">
        <is>
          <t>v0.1</t>
        </is>
      </c>
      <c r="D3" s="5" t="inlineStr">
        <is>
          <t>perm-001</t>
        </is>
      </c>
      <c r="E3" s="5" t="inlineStr">
        <is>
          <t>任务/工具/权限/安全</t>
        </is>
      </c>
      <c r="F3" s="6" t="inlineStr"/>
      <c r="G3" s="6" t="inlineStr">
        <is>
          <t>待运行</t>
        </is>
      </c>
      <c r="H3" s="6" t="inlineStr"/>
      <c r="I3" s="6" t="inlineStr"/>
      <c r="J3" s="6" t="inlineStr"/>
    </row>
    <row r="4">
      <c r="A4" s="6" t="inlineStr"/>
      <c r="B4" s="5" t="inlineStr">
        <is>
          <t>示例项目</t>
        </is>
      </c>
      <c r="C4" s="5" t="inlineStr">
        <is>
          <t>v0.1</t>
        </is>
      </c>
      <c r="D4" s="5" t="inlineStr">
        <is>
          <t>tool-001</t>
        </is>
      </c>
      <c r="E4" s="5" t="inlineStr">
        <is>
          <t>任务/工具/权限/安全</t>
        </is>
      </c>
      <c r="F4" s="6" t="inlineStr"/>
      <c r="G4" s="6" t="inlineStr">
        <is>
          <t>待运行</t>
        </is>
      </c>
      <c r="H4" s="6" t="inlineStr"/>
      <c r="I4" s="6" t="inlineStr"/>
      <c r="J4" s="6" t="inlineStr"/>
    </row>
    <row r="5">
      <c r="A5" s="6" t="inlineStr"/>
      <c r="B5" s="5" t="inlineStr">
        <is>
          <t>示例项目</t>
        </is>
      </c>
      <c r="C5" s="5" t="inlineStr">
        <is>
          <t>v0.1</t>
        </is>
      </c>
      <c r="D5" s="5" t="inlineStr">
        <is>
          <t>prompt-injection-001</t>
        </is>
      </c>
      <c r="E5" s="5" t="inlineStr">
        <is>
          <t>任务/工具/权限/安全</t>
        </is>
      </c>
      <c r="F5" s="6" t="inlineStr"/>
      <c r="G5" s="6" t="inlineStr">
        <is>
          <t>待运行</t>
        </is>
      </c>
      <c r="H5" s="6" t="inlineStr"/>
      <c r="I5" s="6" t="inlineStr"/>
      <c r="J5" s="6" t="inlineStr"/>
    </row>
  </sheetData>
  <autoFilter ref="A1:J5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48" customWidth="1" min="4" max="4"/>
    <col width="14" customWidth="1" min="5" max="5"/>
    <col width="38" customWidth="1" min="6" max="6"/>
    <col width="16" customWidth="1" min="7" max="7"/>
  </cols>
  <sheetData>
    <row r="1" ht="32" customHeight="1">
      <c r="A1" s="1" t="inlineStr">
        <is>
          <t>日期</t>
        </is>
      </c>
      <c r="B1" s="1" t="inlineStr">
        <is>
          <t>公司/岗位</t>
        </is>
      </c>
      <c r="C1" s="1" t="inlineStr">
        <is>
          <t>题目</t>
        </is>
      </c>
      <c r="D1" s="1" t="inlineStr">
        <is>
          <t>我的回答要点</t>
        </is>
      </c>
      <c r="E1" s="1" t="inlineStr">
        <is>
          <t>评分(1-5)</t>
        </is>
      </c>
      <c r="F1" s="1" t="inlineStr">
        <is>
          <t>证据/改进</t>
        </is>
      </c>
      <c r="G1" s="1" t="inlineStr">
        <is>
          <t>下次复习日期</t>
        </is>
      </c>
    </row>
  </sheetData>
  <autoFilter ref="A1:G200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5" customWidth="1" min="3" max="3"/>
    <col width="45" customWidth="1" min="4" max="4"/>
    <col width="32" customWidth="1" min="5" max="5"/>
    <col width="20" customWidth="1" min="6" max="6"/>
    <col width="16" customWidth="1" min="7" max="7"/>
  </cols>
  <sheetData>
    <row r="1" ht="32" customHeight="1">
      <c r="A1" s="1" t="inlineStr">
        <is>
          <t>日期</t>
        </is>
      </c>
      <c r="B1" s="1" t="inlineStr">
        <is>
          <t>主题</t>
        </is>
      </c>
      <c r="C1" s="1" t="inlineStr">
        <is>
          <t>题目/错误</t>
        </is>
      </c>
      <c r="D1" s="1" t="inlineStr">
        <is>
          <t>正确结论</t>
        </is>
      </c>
      <c r="E1" s="1" t="inlineStr">
        <is>
          <t>错误原因</t>
        </is>
      </c>
      <c r="F1" s="1" t="inlineStr">
        <is>
          <t>复习结果</t>
        </is>
      </c>
      <c r="G1" s="1" t="inlineStr">
        <is>
          <t>下次复习</t>
        </is>
      </c>
    </row>
  </sheetData>
  <autoFilter ref="A1:G300"/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38" customWidth="1" min="4" max="4"/>
    <col width="24" customWidth="1" min="5" max="5"/>
    <col width="38" customWidth="1" min="6" max="6"/>
    <col width="38" customWidth="1" min="7" max="7"/>
    <col width="38" customWidth="1" min="8" max="8"/>
    <col width="30" customWidth="1" min="9" max="9"/>
    <col width="14" customWidth="1" min="10" max="10"/>
  </cols>
  <sheetData>
    <row r="1" ht="32" customHeight="1">
      <c r="A1" s="1" t="inlineStr">
        <is>
          <t>日期</t>
        </is>
      </c>
      <c r="B1" s="1" t="inlineStr">
        <is>
          <t>trace_id</t>
        </is>
      </c>
      <c r="C1" s="1" t="inlineStr">
        <is>
          <t>分类</t>
        </is>
      </c>
      <c r="D1" s="1" t="inlineStr">
        <is>
          <t>症状</t>
        </is>
      </c>
      <c r="E1" s="1" t="inlineStr">
        <is>
          <t>影响</t>
        </is>
      </c>
      <c r="F1" s="1" t="inlineStr">
        <is>
          <t>根因假设</t>
        </is>
      </c>
      <c r="G1" s="1" t="inlineStr">
        <is>
          <t>缓解动作</t>
        </is>
      </c>
      <c r="H1" s="1" t="inlineStr">
        <is>
          <t>长期修复</t>
        </is>
      </c>
      <c r="I1" s="1" t="inlineStr">
        <is>
          <t>验证证据</t>
        </is>
      </c>
      <c r="J1" s="1" t="inlineStr">
        <is>
          <t>状态</t>
        </is>
      </c>
    </row>
  </sheetData>
  <autoFilter ref="A1:J300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16" customWidth="1" min="4" max="4"/>
    <col width="28" customWidth="1" min="5" max="5"/>
    <col width="14" customWidth="1" min="6" max="6"/>
    <col width="34" customWidth="1" min="7" max="7"/>
  </cols>
  <sheetData>
    <row r="1" ht="32" customHeight="1">
      <c r="A1" s="1" t="inlineStr">
        <is>
          <t>主题</t>
        </is>
      </c>
      <c r="B1" s="1" t="inlineStr">
        <is>
          <t>官方资料</t>
        </is>
      </c>
      <c r="C1" s="1" t="inlineStr">
        <is>
          <t>URL</t>
        </is>
      </c>
      <c r="D1" s="1" t="inlineStr">
        <is>
          <t>资料日期</t>
        </is>
      </c>
      <c r="E1" s="1" t="inlineStr">
        <is>
          <t>版本/风险</t>
        </is>
      </c>
      <c r="F1" s="1" t="inlineStr">
        <is>
          <t>阅读状态</t>
        </is>
      </c>
      <c r="G1" s="1" t="inlineStr">
        <is>
          <t>笔记/证据</t>
        </is>
      </c>
    </row>
    <row r="2">
      <c r="A2" s="5" t="inlineStr">
        <is>
          <t>OpenAI Agents SDK</t>
        </is>
      </c>
      <c r="B2" s="5" t="inlineStr">
        <is>
          <t>OpenAI Agents SDK</t>
        </is>
      </c>
      <c r="C2" s="5" t="inlineStr">
        <is>
          <t>https://openai.github.io/openai-agents-python/</t>
        </is>
      </c>
      <c r="D2" s="5" t="inlineStr">
        <is>
          <t>2026-08-12</t>
        </is>
      </c>
      <c r="E2" s="5" t="inlineStr">
        <is>
          <t>页面显示 v0.20.0；快速演进</t>
        </is>
      </c>
      <c r="F2" s="6" t="inlineStr">
        <is>
          <t>未开始</t>
        </is>
      </c>
      <c r="G2" s="6" t="inlineStr"/>
    </row>
    <row r="3">
      <c r="A3" s="5" t="inlineStr">
        <is>
          <t>LangGraph</t>
        </is>
      </c>
      <c r="B3" s="5" t="inlineStr">
        <is>
          <t>Workflows and agents</t>
        </is>
      </c>
      <c r="C3" s="5" t="inlineStr">
        <is>
          <t>https://docs.langchain.com/oss/python/langgraph/workflows-agents</t>
        </is>
      </c>
      <c r="D3" s="5" t="inlineStr">
        <is>
          <t>2026-08-12</t>
        </is>
      </c>
      <c r="E3" s="5" t="inlineStr">
        <is>
          <t>检查 release notes</t>
        </is>
      </c>
      <c r="F3" s="6" t="inlineStr">
        <is>
          <t>未开始</t>
        </is>
      </c>
      <c r="G3" s="6" t="inlineStr"/>
    </row>
    <row r="4">
      <c r="A4" s="5" t="inlineStr">
        <is>
          <t>Microsoft Agent Framework</t>
        </is>
      </c>
      <c r="B4" s="5" t="inlineStr">
        <is>
          <t>Overview</t>
        </is>
      </c>
      <c r="C4" s="5" t="inlineStr">
        <is>
          <t>https://learn.microsoft.com/en-us/agent-framework/overview/</t>
        </is>
      </c>
      <c r="D4" s="5" t="inlineStr">
        <is>
          <t>2026-08-12</t>
        </is>
      </c>
      <c r="E4" s="5" t="inlineStr">
        <is>
          <t>含 preview 功能</t>
        </is>
      </c>
      <c r="F4" s="6" t="inlineStr">
        <is>
          <t>未开始</t>
        </is>
      </c>
      <c r="G4" s="6" t="inlineStr"/>
    </row>
    <row r="5">
      <c r="A5" s="5" t="inlineStr">
        <is>
          <t>MCP</t>
        </is>
      </c>
      <c r="B5" s="5" t="inlineStr">
        <is>
          <t>Specification</t>
        </is>
      </c>
      <c r="C5" s="5" t="inlineStr">
        <is>
          <t>https://modelcontextprotocol.io/specification/2026-07-28</t>
        </is>
      </c>
      <c r="D5" s="5" t="inlineStr">
        <is>
          <t>2026-08-12</t>
        </is>
      </c>
      <c r="E5" s="5" t="inlineStr">
        <is>
          <t>协议按日期版本化</t>
        </is>
      </c>
      <c r="F5" s="6" t="inlineStr">
        <is>
          <t>未开始</t>
        </is>
      </c>
      <c r="G5" s="6" t="inlineStr"/>
    </row>
    <row r="6">
      <c r="A6" s="5" t="inlineStr">
        <is>
          <t>结构化输出</t>
        </is>
      </c>
      <c r="B6" s="5" t="inlineStr">
        <is>
          <t>Structured Outputs</t>
        </is>
      </c>
      <c r="C6" s="5" t="inlineStr">
        <is>
          <t>https://developers.openai.com/api/docs/guides/structured-outputs</t>
        </is>
      </c>
      <c r="D6" s="5" t="inlineStr">
        <is>
          <t>2026-08-12</t>
        </is>
      </c>
      <c r="E6" s="5" t="inlineStr">
        <is>
          <t>模型支持矩阵会变化</t>
        </is>
      </c>
      <c r="F6" s="6" t="inlineStr">
        <is>
          <t>未开始</t>
        </is>
      </c>
      <c r="G6" s="6" t="inlineStr"/>
    </row>
    <row r="7">
      <c r="A7" s="5" t="inlineStr">
        <is>
          <t>工具调用</t>
        </is>
      </c>
      <c r="B7" s="5" t="inlineStr">
        <is>
          <t>Function Calling</t>
        </is>
      </c>
      <c r="C7" s="5" t="inlineStr">
        <is>
          <t>https://developers.openai.com/api/docs/guides/function-calling</t>
        </is>
      </c>
      <c r="D7" s="5" t="inlineStr">
        <is>
          <t>2026-08-12</t>
        </is>
      </c>
      <c r="E7" s="5" t="inlineStr">
        <is>
          <t>API shape 需复核</t>
        </is>
      </c>
      <c r="F7" s="6" t="inlineStr">
        <is>
          <t>未开始</t>
        </is>
      </c>
      <c r="G7" s="6" t="inlineStr"/>
    </row>
    <row r="8">
      <c r="A8" s="5" t="inlineStr">
        <is>
          <t>RAG</t>
        </is>
      </c>
      <c r="B8" s="5" t="inlineStr">
        <is>
          <t>Retrieval</t>
        </is>
      </c>
      <c r="C8" s="5" t="inlineStr">
        <is>
          <t>https://developers.openai.com/api/docs/guides/retrieval</t>
        </is>
      </c>
      <c r="D8" s="5" t="inlineStr">
        <is>
          <t>2026-08-12</t>
        </is>
      </c>
      <c r="E8" s="5" t="inlineStr">
        <is>
          <t>价格和限额需复核</t>
        </is>
      </c>
      <c r="F8" s="6" t="inlineStr">
        <is>
          <t>未开始</t>
        </is>
      </c>
      <c r="G8" s="6" t="inlineStr"/>
    </row>
    <row r="9">
      <c r="A9" s="5" t="inlineStr">
        <is>
          <t>安全</t>
        </is>
      </c>
      <c r="B9" s="5" t="inlineStr">
        <is>
          <t>Safety in building agents</t>
        </is>
      </c>
      <c r="C9" s="5" t="inlineStr">
        <is>
          <t>https://developers.openai.com/api/docs/guides/agent-builder-safety</t>
        </is>
      </c>
      <c r="D9" s="5" t="inlineStr">
        <is>
          <t>2026-08-12</t>
        </is>
      </c>
      <c r="E9" s="5" t="inlineStr">
        <is>
          <t>产品弃用公告需复核</t>
        </is>
      </c>
      <c r="F9" s="6" t="inlineStr">
        <is>
          <t>未开始</t>
        </is>
      </c>
      <c r="G9" s="6" t="inlineStr"/>
    </row>
    <row r="10">
      <c r="A10" s="5" t="inlineStr">
        <is>
          <t>评测</t>
        </is>
      </c>
      <c r="B10" s="5" t="inlineStr">
        <is>
          <t>Evaluate agent workflows</t>
        </is>
      </c>
      <c r="C10" s="5" t="inlineStr">
        <is>
          <t>https://developers.openai.com/api/docs/guides/agent-evals</t>
        </is>
      </c>
      <c r="D10" s="5" t="inlineStr">
        <is>
          <t>2026-08-12</t>
        </is>
      </c>
      <c r="E10" s="5" t="inlineStr">
        <is>
          <t>平台能力会变化</t>
        </is>
      </c>
      <c r="F10" s="6" t="inlineStr">
        <is>
          <t>未开始</t>
        </is>
      </c>
      <c r="G10" s="6" t="inlineStr"/>
    </row>
    <row r="11">
      <c r="A11" s="5" t="inlineStr">
        <is>
          <t>可观测性</t>
        </is>
      </c>
      <c r="B11" s="5" t="inlineStr">
        <is>
          <t>OpenTelemetry Python</t>
        </is>
      </c>
      <c r="C11" s="5" t="inlineStr">
        <is>
          <t>https://opentelemetry.io/docs/languages/python/</t>
        </is>
      </c>
      <c r="D11" s="5" t="inlineStr">
        <is>
          <t>2026-08-12</t>
        </is>
      </c>
      <c r="E11" s="5" t="inlineStr">
        <is>
          <t>Logs 仍处于 development</t>
        </is>
      </c>
      <c r="F11" s="6" t="inlineStr">
        <is>
          <t>未开始</t>
        </is>
      </c>
      <c r="G11" s="6" t="inlineStr"/>
    </row>
  </sheetData>
  <autoFilter ref="A1:G1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2026-08-12T03:42:12Z</dcterms:created>
  <dcterms:modified xmlns:dcterms="http://purl.org/dc/terms/" xmlns:xsi="http://www.w3.org/2001/XMLSchema-instance" xsi:type="dcterms:W3CDTF">2026-08-12T03:42:12Z</dcterms:modified>
</cp:coreProperties>
</file>